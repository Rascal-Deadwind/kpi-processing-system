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melbournemobilephysio.sharepoint.com/sites/Performance/Shared Documents/Excel files/KPI Files/KPI/config/"/>
    </mc:Choice>
  </mc:AlternateContent>
  <xr:revisionPtr revIDLastSave="633" documentId="11_3686550BA066DF353AA38EDAE91D5E639E4428EE" xr6:coauthVersionLast="47" xr6:coauthVersionMax="47" xr10:uidLastSave="{721974F2-0EE2-4FAD-9395-2EF4F4DB1047}"/>
  <bookViews>
    <workbookView xWindow="-120" yWindow="-120" windowWidth="29040" windowHeight="15720" firstSheet="2" xr2:uid="{00000000-000D-0000-FFFF-FFFF00000000}"/>
  </bookViews>
  <sheets>
    <sheet name="Config_Therapists" sheetId="1" r:id="rId1"/>
    <sheet name="Config_Competency_History" sheetId="9" r:id="rId2"/>
    <sheet name="Config_TeamAve_Thresholds" sheetId="10" r:id="rId3"/>
    <sheet name="Lookup Validations" sheetId="8" r:id="rId4"/>
    <sheet name="Config_Teams" sheetId="2" r:id="rId5"/>
    <sheet name="Config_Thresholds_Physio" sheetId="3" r:id="rId6"/>
    <sheet name="Config_Thresholds_OT" sheetId="4" r:id="rId7"/>
    <sheet name="Config_KPIs" sheetId="5" r:id="rId8"/>
    <sheet name="Instructions" sheetId="6" r:id="rId9"/>
    <sheet name="Config_Colours" sheetId="7" r:id="rId10"/>
  </sheets>
  <definedNames>
    <definedName name="_xlnm._FilterDatabase" localSheetId="0" hidden="1">'Config_Therapists'!$A$1:$H$1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E8" i="10" a="1"/>
  <c r="E8" i="10" s="1"/>
  <c r="D8" i="10" a="1"/>
  <c r="D8" i="10" s="1"/>
  <c r="C8" i="10" a="1"/>
  <c r="C8" i="10" s="1"/>
  <c r="B8" i="10" a="1"/>
  <c r="B8" i="10" s="1"/>
  <c r="E7" i="10" a="1"/>
  <c r="E7" i="10" s="1"/>
  <c r="D7" i="10" a="1"/>
  <c r="D7" i="10" s="1"/>
  <c r="C7" i="10" a="1"/>
  <c r="C7" i="10" s="1"/>
  <c r="B7" i="10" a="1"/>
  <c r="B7" i="10" s="1"/>
  <c r="E6" i="10" a="1"/>
  <c r="E6" i="10" s="1"/>
  <c r="D6" i="10" a="1"/>
  <c r="D6" i="10" s="1"/>
  <c r="C6" i="10" a="1"/>
  <c r="C6" i="10" s="1"/>
  <c r="B6" i="10" a="1"/>
  <c r="B6" i="10" s="1"/>
  <c r="E12" i="8" a="1"/>
  <c r="E12" i="8"/>
  <c r="D12" i="8" a="1"/>
  <c r="D12" i="8"/>
  <c r="C12" i="8" a="1"/>
  <c r="C12" i="8"/>
  <c r="E11" i="8" a="1"/>
  <c r="E11" i="8"/>
  <c r="D11" i="8" a="1"/>
  <c r="D11" i="8"/>
  <c r="C11" i="8" a="1"/>
  <c r="C11" i="8"/>
  <c r="E10" i="8" a="1"/>
  <c r="E10" i="8"/>
  <c r="D10" i="8" a="1"/>
  <c r="D10" i="8"/>
  <c r="C10" i="8" a="1"/>
  <c r="C10" i="8"/>
  <c r="B11" i="8" a="1"/>
  <c r="B11" i="8"/>
  <c r="B10" i="8" a="1"/>
  <c r="B10" i="8"/>
  <c r="B12" i="8" a="1"/>
  <c r="B12" i="8"/>
  <c r="G32" i="1"/>
  <c r="G31" i="1"/>
  <c r="G30" i="1"/>
  <c r="D4" i="9"/>
  <c r="D5" i="9"/>
  <c r="D2" i="9"/>
  <c r="D3" i="9"/>
  <c r="G19" i="1"/>
  <c r="G18" i="1"/>
  <c r="G20" i="1"/>
  <c r="G21" i="1"/>
  <c r="G22" i="1"/>
  <c r="G28" i="1"/>
  <c r="G29" i="1"/>
  <c r="G16" i="1"/>
  <c r="G4" i="1"/>
  <c r="G5" i="1"/>
  <c r="G6" i="1"/>
  <c r="G7" i="1"/>
  <c r="G2" i="1"/>
  <c r="G3" i="1"/>
  <c r="G8" i="1"/>
  <c r="G9" i="1"/>
  <c r="G10" i="1"/>
  <c r="G11" i="1"/>
  <c r="G12" i="1"/>
  <c r="G13" i="1"/>
  <c r="G14" i="1"/>
  <c r="G15" i="1"/>
  <c r="G17" i="1"/>
  <c r="G23" i="1"/>
  <c r="G24" i="1"/>
  <c r="G25" i="1"/>
  <c r="G26" i="1"/>
  <c r="G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<sst xmlns="http://schemas.openxmlformats.org/spreadsheetml/2006/main" count="289" uniqueCount="149">
  <si>
    <t>Name</t>
  </si>
  <si>
    <t>Team</t>
  </si>
  <si>
    <t>Competency</t>
  </si>
  <si>
    <t>FTE</t>
  </si>
  <si>
    <t>IsActive</t>
  </si>
  <si>
    <t>FilePath</t>
  </si>
  <si>
    <t>CaseloadFilePath</t>
  </si>
  <si>
    <t>IsTeamLeader</t>
  </si>
  <si>
    <t>Marco</t>
  </si>
  <si>
    <t>Physio_North</t>
  </si>
  <si>
    <t>Senior</t>
  </si>
  <si>
    <t>Alice</t>
  </si>
  <si>
    <t>CA</t>
  </si>
  <si>
    <t>Eva</t>
  </si>
  <si>
    <t>Jay</t>
  </si>
  <si>
    <t>Chris</t>
  </si>
  <si>
    <t>Jaymee</t>
  </si>
  <si>
    <t>Grad</t>
  </si>
  <si>
    <t>Danny</t>
  </si>
  <si>
    <t>Emilie</t>
  </si>
  <si>
    <t>April</t>
  </si>
  <si>
    <t>Jackson</t>
  </si>
  <si>
    <t>Beth</t>
  </si>
  <si>
    <t>Physio_South</t>
  </si>
  <si>
    <t>Vincent</t>
  </si>
  <si>
    <t>Maddie</t>
  </si>
  <si>
    <t>Raj</t>
  </si>
  <si>
    <t>Andy</t>
  </si>
  <si>
    <t>Tom</t>
  </si>
  <si>
    <t>Kate</t>
  </si>
  <si>
    <t>Shirley</t>
  </si>
  <si>
    <t>Steph</t>
  </si>
  <si>
    <t>Janice</t>
  </si>
  <si>
    <t>Felina</t>
  </si>
  <si>
    <t>Josephine</t>
  </si>
  <si>
    <t>OT</t>
  </si>
  <si>
    <t>Lynn</t>
  </si>
  <si>
    <t>Isabella</t>
  </si>
  <si>
    <t>Charlotte</t>
  </si>
  <si>
    <t>Portia</t>
  </si>
  <si>
    <t>Caitlin</t>
  </si>
  <si>
    <t>Bao</t>
  </si>
  <si>
    <t>Jiayee</t>
  </si>
  <si>
    <t>Sabrina</t>
  </si>
  <si>
    <t>Rainie</t>
  </si>
  <si>
    <t>EffectiveDate</t>
  </si>
  <si>
    <t>NameMatch</t>
  </si>
  <si>
    <t>wrongname</t>
  </si>
  <si>
    <t>Billings_Red_Below</t>
  </si>
  <si>
    <t>Billings_Green_Min</t>
  </si>
  <si>
    <t>Billings_Green_Max</t>
  </si>
  <si>
    <t>Billings_Blue_Above</t>
  </si>
  <si>
    <t>TeamId</t>
  </si>
  <si>
    <t>TeamName</t>
  </si>
  <si>
    <t>TeamType</t>
  </si>
  <si>
    <t>MasterFilePath</t>
  </si>
  <si>
    <t>SheetName</t>
  </si>
  <si>
    <t>/Admin -  Team Leaders/Team Performance and KPIs/MMP Team Performance Data.xlsx</t>
  </si>
  <si>
    <t>FinalPowerAutomate OT</t>
  </si>
  <si>
    <t>Physio North</t>
  </si>
  <si>
    <t>Physio</t>
  </si>
  <si>
    <t>FinalPowerAutomate North</t>
  </si>
  <si>
    <t>Physio South</t>
  </si>
  <si>
    <t>FinalPowerAutomate South</t>
  </si>
  <si>
    <t>Team Average</t>
  </si>
  <si>
    <t>Ceased Services Thresholds</t>
  </si>
  <si>
    <t>Metric</t>
  </si>
  <si>
    <t>Blue_Below</t>
  </si>
  <si>
    <t>Green_Min</t>
  </si>
  <si>
    <t>Green_Max</t>
  </si>
  <si>
    <t>Red_Above</t>
  </si>
  <si>
    <t>Ceased %</t>
  </si>
  <si>
    <t>Other KPIs (1-5 Scale)</t>
  </si>
  <si>
    <t>Rating</t>
  </si>
  <si>
    <t>Min</t>
  </si>
  <si>
    <t>Max</t>
  </si>
  <si>
    <t>Label</t>
  </si>
  <si>
    <t>Colour</t>
  </si>
  <si>
    <t>Unsatisfactory</t>
  </si>
  <si>
    <t>Red</t>
  </si>
  <si>
    <t>Needs Improvement</t>
  </si>
  <si>
    <t>Orange</t>
  </si>
  <si>
    <t>In Progress</t>
  </si>
  <si>
    <t>Yellow</t>
  </si>
  <si>
    <t>Very Good</t>
  </si>
  <si>
    <t>Green</t>
  </si>
  <si>
    <t>Excellent</t>
  </si>
  <si>
    <t>Blue</t>
  </si>
  <si>
    <t>Other KPIs (1-5 Scale) - Same as Physio</t>
  </si>
  <si>
    <t>KPI_ID</t>
  </si>
  <si>
    <t>KPI_Name</t>
  </si>
  <si>
    <t>DisplayOrder</t>
  </si>
  <si>
    <t>Column_In_Master</t>
  </si>
  <si>
    <t>BillingsKPI</t>
  </si>
  <si>
    <t>Ceased Services</t>
  </si>
  <si>
    <t>Documentation</t>
  </si>
  <si>
    <t>Admin &amp; Operational Efficiency</t>
  </si>
  <si>
    <t>Attitude, Learning, Collaboration &amp; Client Impact</t>
  </si>
  <si>
    <t>Operational Efficiency, Compliance &amp; Admin Responsiveness</t>
  </si>
  <si>
    <t>Client &amp; Referrer Satisfaction</t>
  </si>
  <si>
    <t>Capacity Building &amp; Use of NDIS Funding</t>
  </si>
  <si>
    <t>Capacity Building and Use of NDIS Funding</t>
  </si>
  <si>
    <t>Team Contribution, Attitude &amp; Clinical Growth</t>
  </si>
  <si>
    <t>KPI System Configuration Tables</t>
  </si>
  <si>
    <t>HOW TO USE THESE TABLES</t>
  </si>
  <si>
    <t>1. Config_Therapists</t>
  </si>
  <si>
    <t xml:space="preserve">   - Blue cells are editable by admin</t>
  </si>
  <si>
    <t xml:space="preserve">   - Name/Team: Identifier fields</t>
  </si>
  <si>
    <t xml:space="preserve">   - Competency: Grad, CA, or Senior</t>
  </si>
  <si>
    <t xml:space="preserve">   - FTE: Full-time equivalent (0.2 to 1.0)</t>
  </si>
  <si>
    <t xml:space="preserve">   - IsActive: TRUE or FALSE</t>
  </si>
  <si>
    <t xml:space="preserve">   - FilePath: SharePoint path to their individual KPI file</t>
  </si>
  <si>
    <t>2. Config_Teams</t>
  </si>
  <si>
    <t xml:space="preserve">   - All teams share one master file</t>
  </si>
  <si>
    <t xml:space="preserve">   - SheetName specifies which sheet contains that team's data</t>
  </si>
  <si>
    <t xml:space="preserve">   - Update MasterFilePath if the file gets moved</t>
  </si>
  <si>
    <t>3. Config_Thresholds_Physio / Config_Thresholds_OT</t>
  </si>
  <si>
    <t xml:space="preserve">   - Billing thresholds by competency level</t>
  </si>
  <si>
    <t xml:space="preserve">   - Edit blue cells to adjust Red/Amber/Green ranges</t>
  </si>
  <si>
    <t xml:space="preserve">   - Changes apply to ALL therapists at that level</t>
  </si>
  <si>
    <t>4. Config_KPIs</t>
  </si>
  <si>
    <t xml:space="preserve">   - KPI names and display order</t>
  </si>
  <si>
    <t xml:space="preserve">   - Edit to rename KPIs or change order</t>
  </si>
  <si>
    <t>ADDING A NEW THERAPIST</t>
  </si>
  <si>
    <t xml:space="preserve">   1. Create their individual Excel file in SharePoint</t>
  </si>
  <si>
    <t xml:space="preserve">   2. Add a row to Config_Therapists</t>
  </si>
  <si>
    <t xml:space="preserve">   3. Enter their FilePath (copy from SharePoint URL or file explorer)</t>
  </si>
  <si>
    <t xml:space="preserve">   4. Set Competency, FTE, IsActive</t>
  </si>
  <si>
    <t xml:space="preserve">   5. Done! System will find the file automatically</t>
  </si>
  <si>
    <t>PROMOTING A THERAPIST</t>
  </si>
  <si>
    <t xml:space="preserve">   1. Find them in Config_Therapists</t>
  </si>
  <si>
    <t xml:space="preserve">   2. Change Competency (e.g., Grad → CA)</t>
  </si>
  <si>
    <t xml:space="preserve">   3. Done! Thresholds update automatically</t>
  </si>
  <si>
    <t>DEACTIVATING A THERAPIST</t>
  </si>
  <si>
    <t xml:space="preserve">   1. Set IsActive to FALSE</t>
  </si>
  <si>
    <t xml:space="preserve">   2. Their file will no longer be updated</t>
  </si>
  <si>
    <t xml:space="preserve">   3. Keep the row for historical reference</t>
  </si>
  <si>
    <t>Colour_Name</t>
  </si>
  <si>
    <t>Hex_Code</t>
  </si>
  <si>
    <t>E47373</t>
  </si>
  <si>
    <t>81C784</t>
  </si>
  <si>
    <t>Amber</t>
  </si>
  <si>
    <t>FFB74D</t>
  </si>
  <si>
    <t>4FC3F7</t>
  </si>
  <si>
    <t>FFF176</t>
  </si>
  <si>
    <t>Grey_Inactive</t>
  </si>
  <si>
    <t>C0C0C0</t>
  </si>
  <si>
    <t>White</t>
  </si>
  <si>
    <t>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</si>
</sst>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C09]dd\-mmm\-yy;@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</font>
    <font>
      <sz val="11"/>
      <color rgb="FF000000"/>
      <name val="Aptos Narrow"/>
    </font>
    <font>
      <b/>
      <sz val="11"/>
      <color theme="0"/>
      <name val="Calibri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E47373"/>
        <bgColor rgb="FFE47373"/>
      </patternFill>
    </fill>
    <fill>
      <patternFill patternType="solid">
        <fgColor rgb="FF81C784"/>
        <bgColor rgb="FF81C784"/>
      </patternFill>
    </fill>
    <fill>
      <patternFill patternType="solid">
        <fgColor rgb="FFFFB74D"/>
        <bgColor rgb="FFFFB74D"/>
      </patternFill>
    </fill>
    <fill>
      <patternFill patternType="solid">
        <fgColor rgb="FF4FC3F7"/>
        <bgColor rgb="FF4FC3F7"/>
      </patternFill>
    </fill>
    <fill>
      <patternFill patternType="solid">
        <fgColor rgb="FFFFF176"/>
        <bgColor rgb="FFFFF17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3" borderId="1" xfId="0" applyFill="1" applyBorder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3" borderId="4" xfId="0" applyFill="1" applyBorder="1"/>
    <xf numFmtId="0" fontId="1" fillId="2" borderId="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3" fillId="11" borderId="7" xfId="0" applyFont="1" applyFill="1" applyBorder="1"/>
    <xf numFmtId="0" fontId="3" fillId="11" borderId="5" xfId="0" applyFont="1" applyFill="1" applyBorder="1"/>
    <xf numFmtId="0" fontId="4" fillId="11" borderId="1" xfId="0" applyFont="1" applyFill="1" applyBorder="1"/>
    <xf numFmtId="0" fontId="4" fillId="11" borderId="5" xfId="0" applyFont="1" applyFill="1" applyBorder="1"/>
    <xf numFmtId="0" fontId="4" fillId="11" borderId="8" xfId="0" applyFont="1" applyFill="1" applyBorder="1"/>
    <xf numFmtId="0" fontId="4" fillId="11" borderId="9" xfId="0" applyFont="1" applyFill="1" applyBorder="1"/>
    <xf numFmtId="0" fontId="3" fillId="11" borderId="11" xfId="0" applyFont="1" applyFill="1" applyBorder="1"/>
    <xf numFmtId="0" fontId="4" fillId="11" borderId="4" xfId="0" applyFont="1" applyFill="1" applyBorder="1"/>
    <xf numFmtId="0" fontId="4" fillId="11" borderId="12" xfId="0" applyFont="1" applyFill="1" applyBorder="1"/>
    <xf numFmtId="0" fontId="4" fillId="11" borderId="0" xfId="0" applyFont="1" applyFill="1"/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11" xfId="0" applyFont="1" applyFill="1" applyBorder="1"/>
    <xf numFmtId="0" fontId="0" fillId="3" borderId="3" xfId="0" applyFill="1" applyBorder="1"/>
    <xf numFmtId="0" fontId="1" fillId="2" borderId="10" xfId="0" applyFont="1" applyFill="1" applyBorder="1"/>
    <xf numFmtId="0" fontId="0" fillId="3" borderId="13" xfId="0" applyFill="1" applyBorder="1"/>
    <xf numFmtId="0" fontId="0" fillId="12" borderId="5" xfId="0" applyFill="1" applyBorder="1"/>
    <xf numFmtId="0" fontId="0" fillId="12" borderId="1" xfId="0" applyFill="1" applyBorder="1"/>
    <xf numFmtId="0" fontId="0" fillId="12" borderId="12" xfId="0" applyFill="1" applyBorder="1"/>
    <xf numFmtId="0" fontId="0" fillId="12" borderId="4" xfId="0" applyFill="1" applyBorder="1"/>
    <xf numFmtId="0" fontId="0" fillId="3" borderId="14" xfId="0" applyFill="1" applyBorder="1"/>
    <xf numFmtId="0" fontId="0" fillId="12" borderId="14" xfId="0" applyFill="1" applyBorder="1"/>
    <xf numFmtId="0" fontId="1" fillId="2" borderId="7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0" fillId="12" borderId="3" xfId="0" applyFill="1" applyBorder="1"/>
    <xf numFmtId="0" fontId="0" fillId="12" borderId="2" xfId="0" applyFill="1" applyBorder="1"/>
    <xf numFmtId="0" fontId="0" fillId="12" borderId="13" xfId="0" applyFill="1" applyBorder="1"/>
    <xf numFmtId="0" fontId="0" fillId="12" borderId="0" xfId="0" applyFill="1"/>
    <xf numFmtId="0" fontId="5" fillId="0" borderId="0" xfId="0" applyFont="1"/>
    <xf numFmtId="0" fontId="6" fillId="13" borderId="16" xfId="0" applyFont="1" applyFill="1" applyBorder="1"/>
    <xf numFmtId="0" fontId="6" fillId="13" borderId="17" xfId="0" applyFont="1" applyFill="1" applyBorder="1"/>
    <xf numFmtId="0" fontId="6" fillId="14" borderId="17" xfId="0" applyFont="1" applyFill="1" applyBorder="1"/>
    <xf numFmtId="0" fontId="6" fillId="12" borderId="1" xfId="0" applyFont="1" applyFill="1" applyBorder="1" applyAlignment="1">
      <alignment horizontal="center" wrapText="1"/>
    </xf>
    <xf numFmtId="164" fontId="0" fillId="0" borderId="0" xfId="0" applyNumberFormat="1"/>
    <xf numFmtId="0" fontId="3" fillId="12" borderId="2" xfId="0" applyFont="1" applyFill="1" applyBorder="1"/>
    <xf numFmtId="0" fontId="3" fillId="11" borderId="2" xfId="0" applyFont="1" applyFill="1" applyBorder="1"/>
    <xf numFmtId="0" fontId="4" fillId="11" borderId="2" xfId="0" applyFont="1" applyFill="1" applyBorder="1"/>
    <xf numFmtId="0" fontId="4" fillId="11" borderId="15" xfId="0" applyFont="1" applyFill="1" applyBorder="1"/>
    <xf numFmtId="0" fontId="4" fillId="11" borderId="11" xfId="0" applyFont="1" applyFill="1" applyBorder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auto="1"/>
        </top>
        <bottom style="thin">
          <color rgb="FF000000"/>
        </bottom>
      </border>
    </dxf>
    <dxf>
      <fill>
        <patternFill patternType="solid">
          <fgColor rgb="FFDDEBF7"/>
          <bgColor rgb="FFDDEBF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DDEBF7"/>
          <bgColor rgb="FFDDEBF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auto="1"/>
        </top>
        <bottom style="thin">
          <color rgb="FF000000"/>
        </bottom>
      </border>
    </dxf>
    <dxf>
      <fill>
        <patternFill patternType="solid">
          <fgColor rgb="FFDDEBF7"/>
          <bgColor rgb="FFDDEBF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165" formatCode="[$-C09]dd\-mmm\-yy;@"/>
    </dxf>
    <dxf>
      <numFmt numFmtId="0" formatCode="General"/>
    </dxf>
    <dxf>
      <numFmt numFmtId="164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indexed="64"/>
          <bgColor rgb="FFDDEBF7"/>
        </patternFill>
      </fill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0" formatCode="General"/>
      <fill>
        <patternFill patternType="solid">
          <fgColor indexed="64"/>
          <bgColor rgb="FFDDEBF7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0" formatCode="General"/>
      <fill>
        <patternFill patternType="solid">
          <fgColor indexed="64"/>
          <bgColor rgb="FFDDEBF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DDEBF7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ill>
        <patternFill patternType="solid">
          <fgColor indexed="64"/>
          <bgColor rgb="FFDDEBF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DDEBF7"/>
      <color rgb="FFC9E0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72C0D-7371-4CC2-9C12-C1AE8822230F}" name="Config_Therapists" displayName="Config_Therapists" ref="A1:H32" totalsRowShown="0" headerRowDxfId="71" dataDxfId="70" headerRowBorderDxfId="68" tableBorderDxfId="69">
  <autoFilter ref="A1:H32" xr:uid="{DD672C0D-7371-4CC2-9C12-C1AE8822230F}">
    <filterColumn colId="1">
      <filters>
        <filter val="Physio_North"/>
      </filters>
    </filterColumn>
  </autoFilter>
  <tableColumns count="8">
    <tableColumn id="1" xr3:uid="{43F83FCF-7ECE-4461-995C-6E01F1795DE4}" name="Name" dataDxfId="67"/>
    <tableColumn id="2" xr3:uid="{F0F077CB-1966-47AB-B985-DC9E7E6FA59B}" name="Team" dataDxfId="66"/>
    <tableColumn id="3" xr3:uid="{0168BEB1-0861-4160-8D5B-DE5CB1A96689}" name="Competency" dataDxfId="65"/>
    <tableColumn id="4" xr3:uid="{4127898F-77B4-4CEF-800E-C46932431493}" name="FTE" dataDxfId="64"/>
    <tableColumn id="5" xr3:uid="{22A59AD3-DFF0-4C5C-994E-F10EE846337F}" name="IsActive" dataDxfId="63"/>
    <tableColumn id="6" xr3:uid="{1F2CFC73-3B80-4C9E-AC89-F4C886896922}" name="FilePath" dataDxfId="62">
      <calculatedColumnFormula>_xlfn.CONCAT("/Excel files/KPI Files/KPI/therapistkpi/",TRIM($A2),"_Test - Coaching and Performance.xlsx")</calculatedColumnFormula>
    </tableColumn>
    <tableColumn id="7" xr3:uid="{9112C610-8D38-47FC-9C59-068D495FAA1C}" name="CaseloadFilePath" dataDxfId="61">
      <calculatedColumnFormula>IF($B2="OT",_xlfn.CONCAT("/Excel files/Caseload Sheets/",$A2,"_OT_Caseload.xlsx"), _xlfn.CONCAT("/Excel files/Caseload Sheets/",$A2,"_Physio_Caseload.xlsx"))</calculatedColumnFormula>
    </tableColumn>
    <tableColumn id="8" xr3:uid="{F9CAFF3D-E26B-4B37-A3E6-1FE5CB90DE70}" name="IsTeamLeader" dataDxfId="6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57E76F-C2C5-48D7-B609-7051E46C0BD5}" name="Config_Competency_History" displayName="Config_Competency_History" ref="A1:D5" totalsRowShown="0">
  <autoFilter ref="A1:D5" xr:uid="{0557E76F-C2C5-48D7-B609-7051E46C0BD5}"/>
  <tableColumns count="4">
    <tableColumn id="1" xr3:uid="{F60BC135-A003-4A85-888F-43FDBB5E1EB1}" name="Name"/>
    <tableColumn id="2" xr3:uid="{34F8A73D-CF3E-4AA5-9C57-23B35B873B8E}" name="Competency"/>
    <tableColumn id="3" xr3:uid="{E5F431C2-3689-42C5-9601-1487F258E1AF}" name="EffectiveDate" dataDxfId="59"/>
    <tableColumn id="4" xr3:uid="{469114DB-09F6-4F8D-AEA4-82529F6CCA63}" name="NameMatch" dataDxfId="58">
      <calculatedColumnFormula>IF(
  ISNA(
    _xlfn.XMATCH(Config_Competency_History[[#This Row],[Name]], Config_Therapists[Name])
  ),
  "❌ Not in Config_Therapists",
  "OK"
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E7E6E0-3887-41FF-96F0-0CA94BC0C0BF}" name="Config_TeamAve_Thresholds" displayName="Config_TeamAve_Thresholds" ref="A1:F8" totalsRowShown="0">
  <autoFilter ref="A1:F8" xr:uid="{FEE7E6E0-3887-41FF-96F0-0CA94BC0C0BF}"/>
  <tableColumns count="6">
    <tableColumn id="1" xr3:uid="{7BFC51A0-A02C-477D-A66A-4E55325F87EC}" name="Team"/>
    <tableColumn id="2" xr3:uid="{B148A4D2-5C48-425D-969B-93029D3A0127}" name="Billings_Red_Below"/>
    <tableColumn id="3" xr3:uid="{DA4FE49A-F63E-42A8-A4F7-E09E9456EE38}" name="Billings_Green_Min"/>
    <tableColumn id="4" xr3:uid="{C848896E-539A-4455-896A-84AEAEED8FDD}" name="Billings_Green_Max"/>
    <tableColumn id="5" xr3:uid="{63685DD1-ECB0-40E0-922A-D80FC009C078}" name="Billings_Blue_Above"/>
    <tableColumn id="6" xr3:uid="{BCB4AC2C-8E15-423F-BEA8-342D2D811A2F}" name="EffectiveDate" dataDxfId="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443B96-0692-4ED9-B984-A5BE1205EE96}" name="Table11" displayName="Table11" ref="A9:E12" totalsRowShown="0">
  <autoFilter ref="A9:E12" xr:uid="{D5443B96-0692-4ED9-B984-A5BE1205EE96}"/>
  <tableColumns count="5">
    <tableColumn id="1" xr3:uid="{EB07A20A-709A-4507-A310-947AD4B87328}" name="Team"/>
    <tableColumn id="2" xr3:uid="{FCF07210-600D-4145-B5EA-197FDB0EB774}" name="Billings_Red_Below" dataDxfId="56">
      <calculatedColumnFormula array="1">SUMPRODUCT(
    (Config_Therapists[Team]="Physio_North")*(Config_Therapists[IsActive]=TRUE)*Config_Therapists[FTE],
    _xlfn.XLOOKUP(Config_Therapists[Competency],Thresholds_Physio_Billings[Competency],Thresholds_Physio_Billings[Billings_Red_Below],0)
)
/
SUMIF(Config_Therapists[Team],"Physio_North",Config_Therapists[FTE])</calculatedColumnFormula>
    </tableColumn>
    <tableColumn id="3" xr3:uid="{5DAC686B-ECD5-49C4-B2A3-7D4A3A89B3F7}" name="Billings_Green_Min" dataDxfId="55">
      <calculatedColumnFormula array="1">SUMPRODUCT(
    (Config_Therapists[Team]="Physio_North")*(Config_Therapists[IsActive]=TRUE)*Config_Therapists[FTE],
    _xlfn.XLOOKUP(Config_Therapists[Competency],Thresholds_Physio_Billings[Competency],Thresholds_Physio_Billings[Billings_Red_Below],0)
)
/
SUMIF(Config_Therapists[Team],"Physio_North",Config_Therapists[FTE])</calculatedColumnFormula>
    </tableColumn>
    <tableColumn id="4" xr3:uid="{CD03BFD9-E387-49E8-9736-FC818063EC47}" name="Billings_Green_Max"/>
    <tableColumn id="5" xr3:uid="{A9E647E4-8139-4C03-839E-92B46F68832E}" name="Billings_Blue_Abov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D140B-2436-458A-8F89-E567DAD2B05E}" name="Config_Teams" displayName="Config_Teams" ref="A1:E4" totalsRowShown="0" headerRowDxfId="54" headerRowBorderDxfId="52" tableBorderDxfId="53" totalsRowBorderDxfId="51">
  <autoFilter ref="A1:E4" xr:uid="{6FBD140B-2436-458A-8F89-E567DAD2B05E}"/>
  <tableColumns count="5">
    <tableColumn id="1" xr3:uid="{2A45A6E5-E59E-4F1A-B135-0E1D3151A603}" name="TeamId" dataDxfId="50"/>
    <tableColumn id="2" xr3:uid="{958EDCD7-0447-4B30-AA7B-8A4F52ACBA25}" name="TeamName" dataDxfId="49"/>
    <tableColumn id="3" xr3:uid="{AEA0E2EF-C5B0-45FB-B8E7-B398969C87DF}" name="TeamType" dataDxfId="48"/>
    <tableColumn id="4" xr3:uid="{65E8224E-3293-4E9B-B88D-0ECF12FCD1BF}" name="MasterFilePath" dataDxfId="47"/>
    <tableColumn id="5" xr3:uid="{9577DA31-831E-481C-B039-A147C52F09CC}" name="SheetName" dataDxfId="4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0F1F24-5C8C-43FB-9410-29FF7B34CCA5}" name="Thresholds_Physio_Billings" displayName="Thresholds_Physio_Billings" ref="A1:E5" totalsRowShown="0" headerRowDxfId="45" dataDxfId="44" headerRowBorderDxfId="42" tableBorderDxfId="43">
  <autoFilter ref="A1:E5" xr:uid="{9E0F1F24-5C8C-43FB-9410-29FF7B34CCA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5227E08-0041-46B6-85A0-BDE63A705604}" name="Competency" dataDxfId="41"/>
    <tableColumn id="2" xr3:uid="{B72BE9DD-A273-4219-BDAB-59309D2046B7}" name="Billings_Red_Below" dataDxfId="40"/>
    <tableColumn id="3" xr3:uid="{4231F188-17C4-46D7-8F09-C0E294185157}" name="Billings_Green_Min" dataDxfId="39"/>
    <tableColumn id="4" xr3:uid="{21B9975D-D5B2-432D-9381-428DF1507A31}" name="Billings_Green_Max" dataDxfId="38"/>
    <tableColumn id="5" xr3:uid="{19A250C6-1706-477C-A4DE-0A85EBAB5A70}" name="Billings_Blue_Above" dataDxfId="3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3649CB-8DAB-4EDC-A5A4-C644F6862A52}" name="Thresholds_Physio_Ceased" displayName="Thresholds_Physio_Ceased" ref="A8:E9" totalsRowShown="0" headerRowDxfId="36" dataDxfId="35" headerRowBorderDxfId="33" tableBorderDxfId="34" totalsRowBorderDxfId="32">
  <autoFilter ref="A8:E9" xr:uid="{C93649CB-8DAB-4EDC-A5A4-C644F6862A5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BE87C46-CDD6-4F53-8275-B8A4D531B1F2}" name="Metric" dataDxfId="31"/>
    <tableColumn id="2" xr3:uid="{60E893F9-C5B0-4F37-90C5-D04D2D0F8875}" name="Blue_Below" dataDxfId="30"/>
    <tableColumn id="3" xr3:uid="{AA65F07E-9FC6-4929-B0D9-00AB9D7D3C55}" name="Green_Min" dataDxfId="29"/>
    <tableColumn id="4" xr3:uid="{E88CF3F9-D7D5-40D4-80D2-CDFB5E4E1EF8}" name="Green_Max" dataDxfId="28"/>
    <tableColumn id="5" xr3:uid="{28AD79EF-9A9C-4816-A935-4CEA091A344A}" name="Red_Above" dataDxfId="2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050D74-298D-48C6-8717-F6302984EE53}" name="Thresholds_Physio_Other" displayName="Thresholds_Physio_Other" ref="A12:E17" totalsRowShown="0" headerRowDxfId="26" tableBorderDxfId="25">
  <autoFilter ref="A12:E17" xr:uid="{D1050D74-298D-48C6-8717-F6302984EE5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AFFEFE1-28D9-4E1C-88DA-47032338387B}" name="Rating" dataDxfId="24"/>
    <tableColumn id="2" xr3:uid="{AA833CAD-06D6-49EF-B9A2-49700F1CCAA1}" name="Min" dataDxfId="23"/>
    <tableColumn id="3" xr3:uid="{225BB974-A693-4218-B786-E5FE866C7158}" name="Max" dataDxfId="22"/>
    <tableColumn id="4" xr3:uid="{F487CE3C-5D8B-4EC7-AF2E-A97E06BD3710}" name="Label" dataDxfId="21"/>
    <tableColumn id="5" xr3:uid="{706BFE29-A6AB-437E-8500-B6F19D0F6339}" name="Colour" dataDxfId="2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946A51-D321-40E7-B47A-5AA0CF94B6D8}" name="Thresholds_OT_Billings" displayName="Thresholds_OT_Billings" ref="A1:E5" totalsRowShown="0" headerRowDxfId="19" dataDxfId="18" headerRowBorderDxfId="16" tableBorderDxfId="17">
  <autoFilter ref="A1:E5" xr:uid="{47946A51-D321-40E7-B47A-5AA0CF94B6D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76699D0-73F4-4273-AE6A-A011D237E53B}" name="Competency" dataDxfId="15"/>
    <tableColumn id="2" xr3:uid="{C8DF861F-3D1A-4C44-90AF-C772CC021574}" name="Billings_Red_Below" dataDxfId="14"/>
    <tableColumn id="3" xr3:uid="{DDEEB4B5-373A-465D-A9A1-ACD1B5B4373A}" name="Billings_Green_Min" dataDxfId="13"/>
    <tableColumn id="4" xr3:uid="{D3ED82AB-57C5-4AD0-8A3F-D4AB36939CAB}" name="Billings_Green_Max" dataDxfId="12"/>
    <tableColumn id="5" xr3:uid="{AA75D5E8-5C02-43BE-8F4A-9300C3C7F78F}" name="Billings_Blue_Above" dataDxfId="1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A28D62-8D0E-43C9-B7BF-4CAB7A8176EB}" name="Config_KPIs" displayName="Config_KPIs" ref="A1:E11" totalsRowShown="0" headerRowDxfId="10" headerRowBorderDxfId="8" tableBorderDxfId="9" totalsRowBorderDxfId="7">
  <autoFilter ref="A1:E11" xr:uid="{4BA28D62-8D0E-43C9-B7BF-4CAB7A8176E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4A0699D-F554-4166-B550-49DCE01694D6}" name="KPI_ID" dataDxfId="6"/>
    <tableColumn id="2" xr3:uid="{554A9D6B-D7AC-4C8F-A53F-B7961D13254A}" name="TeamType" dataDxfId="5"/>
    <tableColumn id="3" xr3:uid="{304A8343-C432-459A-8456-C5213560BD49}" name="KPI_Name" dataDxfId="4"/>
    <tableColumn id="4" xr3:uid="{9F219810-05FC-47DA-9A83-C85D03F2F262}" name="DisplayOrder" dataDxfId="3"/>
    <tableColumn id="5" xr3:uid="{74567976-E329-41FB-8BB7-D3149DD4F38B}" name="Column_In_Master" dataDxfId="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816A44-9CB0-442C-B7B0-2FA3428A1508}" name="Config_Colours" displayName="Config_Colours" ref="A1:C8" totalsRowShown="0">
  <autoFilter ref="A1:C8" xr:uid="{BF816A44-9CB0-442C-B7B0-2FA3428A1508}"/>
  <tableColumns count="3">
    <tableColumn id="1" xr3:uid="{1ADBB9A4-FD67-478E-9836-8AF26A5943CB}" name="Colour_Name" dataDxfId="1"/>
    <tableColumn id="2" xr3:uid="{4315B7E4-3053-435C-8925-7855103D13B1}" name="Hex_Code" dataDxfId="0"/>
    <tableColumn id="3" xr3:uid="{ECD4C80A-2C16-4DF8-834B-2F6BE69778BB}" name="Col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A15" sqref="A15"/>
    </sheetView>
  </sheetViews>
  <sheetFormatPr defaultRowHeight="15"/>
  <cols>
    <col min="1" max="1" width="11" customWidth="1"/>
    <col min="2" max="2" width="14" customWidth="1"/>
    <col min="3" max="3" width="14.28515625" bestFit="1" customWidth="1"/>
    <col min="4" max="4" width="6.5703125" bestFit="1" customWidth="1"/>
    <col min="5" max="5" width="10.42578125" bestFit="1" customWidth="1"/>
    <col min="6" max="7" width="70.28515625" customWidth="1"/>
    <col min="8" max="8" width="19.28515625" customWidth="1"/>
    <col min="9" max="9" width="26.140625" customWidth="1"/>
    <col min="14" max="17" width="16.85546875" customWidth="1"/>
  </cols>
  <sheetData>
    <row r="1" spans="1:8" ht="30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>
      <c r="A2" s="24" t="s">
        <v>8</v>
      </c>
      <c r="B2" s="24" t="s">
        <v>9</v>
      </c>
      <c r="C2" s="24" t="s">
        <v>10</v>
      </c>
      <c r="D2" s="24">
        <v>1</v>
      </c>
      <c r="E2" s="15" t="b">
        <v>1</v>
      </c>
      <c r="F2" s="16" t="str">
        <f t="shared" ref="F2:F32" si="0">_xlfn.CONCAT("/Excel files/KPI Files/KPI/therapistkpi/",TRIM($A2),"_Test - Coaching and Performance.xlsx")</f>
        <v>/Excel files/KPI Files/KPI/therapistkpi/Marco_Test - Coaching and Performance.xlsx</v>
      </c>
      <c r="G2" s="17" t="str">
        <f t="shared" ref="G2:G32" si="1">IF($B2="OT",_xlfn.CONCAT("/Excel files/Caseload Sheets/",$A2,"_OT_Caseload.xlsx"), _xlfn.CONCAT("/Excel files/Caseload Sheets/",$A2,"_Physio_Caseload.xlsx"))</f>
        <v>/Excel files/Caseload Sheets/Marco_Physio_Caseload.xlsx</v>
      </c>
      <c r="H2" s="18" t="b">
        <v>1</v>
      </c>
    </row>
    <row r="3" spans="1:8">
      <c r="A3" s="44" t="s">
        <v>11</v>
      </c>
      <c r="B3" s="45" t="s">
        <v>9</v>
      </c>
      <c r="C3" s="45" t="s">
        <v>12</v>
      </c>
      <c r="D3" s="45">
        <v>1</v>
      </c>
      <c r="E3" s="46" t="b">
        <v>1</v>
      </c>
      <c r="F3" s="16" t="str">
        <f t="shared" si="0"/>
        <v>/Excel files/KPI Files/KPI/therapistkpi/Alice_Test - Coaching and Performance.xlsx</v>
      </c>
      <c r="G3" s="17" t="str">
        <f t="shared" si="1"/>
        <v>/Excel files/Caseload Sheets/Alice_Physio_Caseload.xlsx</v>
      </c>
      <c r="H3" s="19" t="b">
        <v>0</v>
      </c>
    </row>
    <row r="4" spans="1:8">
      <c r="A4" s="44" t="s">
        <v>13</v>
      </c>
      <c r="B4" s="45" t="s">
        <v>9</v>
      </c>
      <c r="C4" s="45" t="s">
        <v>12</v>
      </c>
      <c r="D4" s="45">
        <v>1</v>
      </c>
      <c r="E4" s="46" t="b">
        <v>1</v>
      </c>
      <c r="F4" s="16" t="str">
        <f t="shared" si="0"/>
        <v>/Excel files/KPI Files/KPI/therapistkpi/Eva_Test - Coaching and Performance.xlsx</v>
      </c>
      <c r="G4" s="17" t="str">
        <f t="shared" si="1"/>
        <v>/Excel files/Caseload Sheets/Eva_Physio_Caseload.xlsx</v>
      </c>
      <c r="H4" s="19" t="b">
        <v>0</v>
      </c>
    </row>
    <row r="5" spans="1:8">
      <c r="A5" s="44" t="s">
        <v>14</v>
      </c>
      <c r="B5" s="45" t="s">
        <v>9</v>
      </c>
      <c r="C5" s="45" t="s">
        <v>12</v>
      </c>
      <c r="D5" s="45">
        <v>1</v>
      </c>
      <c r="E5" s="46" t="b">
        <v>1</v>
      </c>
      <c r="F5" s="16" t="str">
        <f t="shared" si="0"/>
        <v>/Excel files/KPI Files/KPI/therapistkpi/Jay_Test - Coaching and Performance.xlsx</v>
      </c>
      <c r="G5" s="17" t="str">
        <f t="shared" si="1"/>
        <v>/Excel files/Caseload Sheets/Jay_Physio_Caseload.xlsx</v>
      </c>
      <c r="H5" s="19" t="b">
        <v>0</v>
      </c>
    </row>
    <row r="6" spans="1:8">
      <c r="A6" s="44" t="s">
        <v>15</v>
      </c>
      <c r="B6" s="45" t="s">
        <v>9</v>
      </c>
      <c r="C6" s="45" t="s">
        <v>12</v>
      </c>
      <c r="D6" s="45">
        <v>1</v>
      </c>
      <c r="E6" s="46" t="b">
        <v>1</v>
      </c>
      <c r="F6" s="16" t="str">
        <f t="shared" si="0"/>
        <v>/Excel files/KPI Files/KPI/therapistkpi/Chris_Test - Coaching and Performance.xlsx</v>
      </c>
      <c r="G6" s="17" t="str">
        <f t="shared" si="1"/>
        <v>/Excel files/Caseload Sheets/Chris_Physio_Caseload.xlsx</v>
      </c>
      <c r="H6" s="19" t="b">
        <v>0</v>
      </c>
    </row>
    <row r="7" spans="1:8">
      <c r="A7" s="44" t="s">
        <v>16</v>
      </c>
      <c r="B7" s="45" t="s">
        <v>9</v>
      </c>
      <c r="C7" s="45" t="s">
        <v>17</v>
      </c>
      <c r="D7" s="45">
        <v>1</v>
      </c>
      <c r="E7" s="46" t="b">
        <v>1</v>
      </c>
      <c r="F7" s="16" t="str">
        <f t="shared" si="0"/>
        <v>/Excel files/KPI Files/KPI/therapistkpi/Jaymee_Test - Coaching and Performance.xlsx</v>
      </c>
      <c r="G7" s="17" t="str">
        <f t="shared" si="1"/>
        <v>/Excel files/Caseload Sheets/Jaymee_Physio_Caseload.xlsx</v>
      </c>
      <c r="H7" s="19" t="b">
        <v>0</v>
      </c>
    </row>
    <row r="8" spans="1:8">
      <c r="A8" s="25" t="s">
        <v>18</v>
      </c>
      <c r="B8" s="25" t="s">
        <v>9</v>
      </c>
      <c r="C8" s="25" t="s">
        <v>12</v>
      </c>
      <c r="D8" s="25">
        <v>0.4</v>
      </c>
      <c r="E8" s="14" t="b">
        <v>1</v>
      </c>
      <c r="F8" s="16" t="str">
        <f t="shared" si="0"/>
        <v>/Excel files/KPI Files/KPI/therapistkpi/Danny_Test - Coaching and Performance.xlsx</v>
      </c>
      <c r="G8" s="17" t="str">
        <f t="shared" si="1"/>
        <v>/Excel files/Caseload Sheets/Danny_Physio_Caseload.xlsx</v>
      </c>
      <c r="H8" s="19" t="b">
        <v>1</v>
      </c>
    </row>
    <row r="9" spans="1:8">
      <c r="A9" s="25" t="s">
        <v>19</v>
      </c>
      <c r="B9" s="25" t="s">
        <v>9</v>
      </c>
      <c r="C9" s="25" t="s">
        <v>12</v>
      </c>
      <c r="D9" s="25">
        <v>1</v>
      </c>
      <c r="E9" s="14" t="b">
        <v>1</v>
      </c>
      <c r="F9" s="16" t="str">
        <f t="shared" si="0"/>
        <v>/Excel files/KPI Files/KPI/therapistkpi/Emilie_Test - Coaching and Performance.xlsx</v>
      </c>
      <c r="G9" s="17" t="str">
        <f t="shared" si="1"/>
        <v>/Excel files/Caseload Sheets/Emilie_Physio_Caseload.xlsx</v>
      </c>
      <c r="H9" s="19" t="b">
        <v>0</v>
      </c>
    </row>
    <row r="10" spans="1:8">
      <c r="A10" s="25" t="s">
        <v>20</v>
      </c>
      <c r="B10" s="25" t="s">
        <v>9</v>
      </c>
      <c r="C10" s="25" t="s">
        <v>12</v>
      </c>
      <c r="D10" s="25">
        <v>0.8</v>
      </c>
      <c r="E10" s="14" t="b">
        <v>1</v>
      </c>
      <c r="F10" s="16" t="str">
        <f t="shared" si="0"/>
        <v>/Excel files/KPI Files/KPI/therapistkpi/April_Test - Coaching and Performance.xlsx</v>
      </c>
      <c r="G10" s="17" t="str">
        <f t="shared" si="1"/>
        <v>/Excel files/Caseload Sheets/April_Physio_Caseload.xlsx</v>
      </c>
      <c r="H10" s="19" t="b">
        <v>0</v>
      </c>
    </row>
    <row r="11" spans="1:8">
      <c r="A11" s="25" t="s">
        <v>21</v>
      </c>
      <c r="B11" s="25" t="s">
        <v>9</v>
      </c>
      <c r="C11" s="25" t="s">
        <v>12</v>
      </c>
      <c r="D11" s="25">
        <v>0.6</v>
      </c>
      <c r="E11" s="14" t="b">
        <v>1</v>
      </c>
      <c r="F11" s="16" t="str">
        <f t="shared" si="0"/>
        <v>/Excel files/KPI Files/KPI/therapistkpi/Jackson_Test - Coaching and Performance.xlsx</v>
      </c>
      <c r="G11" s="17" t="str">
        <f t="shared" si="1"/>
        <v>/Excel files/Caseload Sheets/Jackson_Physio_Caseload.xlsx</v>
      </c>
      <c r="H11" s="19" t="b">
        <v>0</v>
      </c>
    </row>
    <row r="12" spans="1:8" hidden="1">
      <c r="A12" s="25" t="s">
        <v>22</v>
      </c>
      <c r="B12" s="25" t="s">
        <v>23</v>
      </c>
      <c r="C12" s="25" t="s">
        <v>12</v>
      </c>
      <c r="D12" s="25">
        <v>0.8</v>
      </c>
      <c r="E12" s="14" t="b">
        <v>1</v>
      </c>
      <c r="F12" s="16" t="str">
        <f t="shared" si="0"/>
        <v>/Excel files/KPI Files/KPI/therapistkpi/Beth_Test - Coaching and Performance.xlsx</v>
      </c>
      <c r="G12" s="17" t="str">
        <f t="shared" si="1"/>
        <v>/Excel files/Caseload Sheets/Beth_Physio_Caseload.xlsx</v>
      </c>
      <c r="H12" s="19" t="b">
        <v>0</v>
      </c>
    </row>
    <row r="13" spans="1:8" hidden="1">
      <c r="A13" s="25" t="s">
        <v>24</v>
      </c>
      <c r="B13" s="25" t="s">
        <v>23</v>
      </c>
      <c r="C13" s="25" t="s">
        <v>12</v>
      </c>
      <c r="D13" s="25">
        <v>0.8</v>
      </c>
      <c r="E13" s="14" t="b">
        <v>1</v>
      </c>
      <c r="F13" s="16" t="str">
        <f t="shared" si="0"/>
        <v>/Excel files/KPI Files/KPI/therapistkpi/Vincent_Test - Coaching and Performance.xlsx</v>
      </c>
      <c r="G13" s="17" t="str">
        <f t="shared" si="1"/>
        <v>/Excel files/Caseload Sheets/Vincent_Physio_Caseload.xlsx</v>
      </c>
      <c r="H13" s="19" t="b">
        <v>0</v>
      </c>
    </row>
    <row r="14" spans="1:8" hidden="1">
      <c r="A14" s="25" t="s">
        <v>25</v>
      </c>
      <c r="B14" s="25" t="s">
        <v>23</v>
      </c>
      <c r="C14" s="25" t="s">
        <v>10</v>
      </c>
      <c r="D14" s="25">
        <v>0.2</v>
      </c>
      <c r="E14" s="14" t="b">
        <v>1</v>
      </c>
      <c r="F14" s="16" t="str">
        <f t="shared" si="0"/>
        <v>/Excel files/KPI Files/KPI/therapistkpi/Maddie_Test - Coaching and Performance.xlsx</v>
      </c>
      <c r="G14" s="17" t="str">
        <f t="shared" si="1"/>
        <v>/Excel files/Caseload Sheets/Maddie_Physio_Caseload.xlsx</v>
      </c>
      <c r="H14" s="19" t="b">
        <v>0</v>
      </c>
    </row>
    <row r="15" spans="1:8" hidden="1">
      <c r="A15" s="25" t="s">
        <v>26</v>
      </c>
      <c r="B15" s="25" t="s">
        <v>23</v>
      </c>
      <c r="C15" s="25" t="s">
        <v>12</v>
      </c>
      <c r="D15" s="25">
        <v>1</v>
      </c>
      <c r="E15" s="14" t="b">
        <v>1</v>
      </c>
      <c r="F15" s="16" t="str">
        <f t="shared" si="0"/>
        <v>/Excel files/KPI Files/KPI/therapistkpi/Raj_Test - Coaching and Performance.xlsx</v>
      </c>
      <c r="G15" s="17" t="str">
        <f t="shared" si="1"/>
        <v>/Excel files/Caseload Sheets/Raj_Physio_Caseload.xlsx</v>
      </c>
      <c r="H15" s="19" t="b">
        <v>0</v>
      </c>
    </row>
    <row r="16" spans="1:8" hidden="1">
      <c r="A16" s="25" t="s">
        <v>27</v>
      </c>
      <c r="B16" s="25" t="s">
        <v>23</v>
      </c>
      <c r="C16" s="25" t="s">
        <v>12</v>
      </c>
      <c r="D16" s="25">
        <v>1</v>
      </c>
      <c r="E16" s="14" t="b">
        <v>1</v>
      </c>
      <c r="F16" s="16" t="str">
        <f t="shared" si="0"/>
        <v>/Excel files/KPI Files/KPI/therapistkpi/Andy_Test - Coaching and Performance.xlsx</v>
      </c>
      <c r="G16" s="17" t="str">
        <f t="shared" si="1"/>
        <v>/Excel files/Caseload Sheets/Andy_Physio_Caseload.xlsx</v>
      </c>
      <c r="H16" s="19" t="b">
        <v>0</v>
      </c>
    </row>
    <row r="17" spans="1:8" hidden="1">
      <c r="A17" s="25" t="s">
        <v>28</v>
      </c>
      <c r="B17" s="25" t="s">
        <v>23</v>
      </c>
      <c r="C17" s="25" t="s">
        <v>17</v>
      </c>
      <c r="D17" s="25">
        <v>0.4</v>
      </c>
      <c r="E17" s="14" t="b">
        <v>1</v>
      </c>
      <c r="F17" s="16" t="str">
        <f t="shared" si="0"/>
        <v>/Excel files/KPI Files/KPI/therapistkpi/Tom_Test - Coaching and Performance.xlsx</v>
      </c>
      <c r="G17" s="17" t="str">
        <f t="shared" si="1"/>
        <v>/Excel files/Caseload Sheets/Tom_Physio_Caseload.xlsx</v>
      </c>
      <c r="H17" s="19" t="b">
        <v>1</v>
      </c>
    </row>
    <row r="18" spans="1:8" hidden="1">
      <c r="A18" s="25" t="s">
        <v>29</v>
      </c>
      <c r="B18" s="25" t="s">
        <v>23</v>
      </c>
      <c r="C18" s="25" t="s">
        <v>17</v>
      </c>
      <c r="D18" s="25">
        <v>1</v>
      </c>
      <c r="E18" s="14" t="b">
        <v>1</v>
      </c>
      <c r="F18" s="16" t="str">
        <f t="shared" si="0"/>
        <v>/Excel files/KPI Files/KPI/therapistkpi/Kate_Test - Coaching and Performance.xlsx</v>
      </c>
      <c r="G18" s="17" t="str">
        <f t="shared" si="1"/>
        <v>/Excel files/Caseload Sheets/Kate_Physio_Caseload.xlsx</v>
      </c>
      <c r="H18" s="19" t="b">
        <v>0</v>
      </c>
    </row>
    <row r="19" spans="1:8" hidden="1">
      <c r="A19" s="25" t="s">
        <v>30</v>
      </c>
      <c r="B19" s="25" t="s">
        <v>23</v>
      </c>
      <c r="C19" s="25" t="s">
        <v>17</v>
      </c>
      <c r="D19" s="25">
        <v>1</v>
      </c>
      <c r="E19" s="14" t="b">
        <v>1</v>
      </c>
      <c r="F19" s="16" t="str">
        <f t="shared" si="0"/>
        <v>/Excel files/KPI Files/KPI/therapistkpi/Shirley_Test - Coaching and Performance.xlsx</v>
      </c>
      <c r="G19" s="17" t="str">
        <f t="shared" si="1"/>
        <v>/Excel files/Caseload Sheets/Shirley_Physio_Caseload.xlsx</v>
      </c>
      <c r="H19" s="19" t="b">
        <v>0</v>
      </c>
    </row>
    <row r="20" spans="1:8" hidden="1">
      <c r="A20" s="25" t="s">
        <v>31</v>
      </c>
      <c r="B20" s="25" t="s">
        <v>23</v>
      </c>
      <c r="C20" s="25" t="s">
        <v>12</v>
      </c>
      <c r="D20" s="25">
        <v>1</v>
      </c>
      <c r="E20" s="14" t="b">
        <v>1</v>
      </c>
      <c r="F20" s="16" t="str">
        <f t="shared" si="0"/>
        <v>/Excel files/KPI Files/KPI/therapistkpi/Steph_Test - Coaching and Performance.xlsx</v>
      </c>
      <c r="G20" s="17" t="str">
        <f t="shared" si="1"/>
        <v>/Excel files/Caseload Sheets/Steph_Physio_Caseload.xlsx</v>
      </c>
      <c r="H20" s="19" t="b">
        <v>0</v>
      </c>
    </row>
    <row r="21" spans="1:8" hidden="1">
      <c r="A21" s="25" t="s">
        <v>32</v>
      </c>
      <c r="B21" s="25" t="s">
        <v>23</v>
      </c>
      <c r="C21" s="25" t="s">
        <v>12</v>
      </c>
      <c r="D21" s="25">
        <v>1</v>
      </c>
      <c r="E21" s="14" t="b">
        <v>1</v>
      </c>
      <c r="F21" s="16" t="str">
        <f t="shared" si="0"/>
        <v>/Excel files/KPI Files/KPI/therapistkpi/Janice_Test - Coaching and Performance.xlsx</v>
      </c>
      <c r="G21" s="17" t="str">
        <f t="shared" si="1"/>
        <v>/Excel files/Caseload Sheets/Janice_Physio_Caseload.xlsx</v>
      </c>
      <c r="H21" s="19" t="b">
        <v>0</v>
      </c>
    </row>
    <row r="22" spans="1:8" hidden="1">
      <c r="A22" s="25" t="s">
        <v>33</v>
      </c>
      <c r="B22" s="25" t="s">
        <v>23</v>
      </c>
      <c r="C22" s="25" t="s">
        <v>12</v>
      </c>
      <c r="D22" s="25">
        <v>1</v>
      </c>
      <c r="E22" s="14" t="b">
        <v>1</v>
      </c>
      <c r="F22" s="16" t="str">
        <f t="shared" si="0"/>
        <v>/Excel files/KPI Files/KPI/therapistkpi/Felina_Test - Coaching and Performance.xlsx</v>
      </c>
      <c r="G22" s="17" t="str">
        <f t="shared" si="1"/>
        <v>/Excel files/Caseload Sheets/Felina_Physio_Caseload.xlsx</v>
      </c>
      <c r="H22" s="19" t="b">
        <v>0</v>
      </c>
    </row>
    <row r="23" spans="1:8" hidden="1">
      <c r="A23" s="25" t="s">
        <v>34</v>
      </c>
      <c r="B23" s="25" t="s">
        <v>35</v>
      </c>
      <c r="C23" s="25" t="s">
        <v>10</v>
      </c>
      <c r="D23" s="25">
        <v>1</v>
      </c>
      <c r="E23" s="14" t="b">
        <v>1</v>
      </c>
      <c r="F23" s="16" t="str">
        <f t="shared" si="0"/>
        <v>/Excel files/KPI Files/KPI/therapistkpi/Josephine_Test - Coaching and Performance.xlsx</v>
      </c>
      <c r="G23" s="17" t="str">
        <f t="shared" si="1"/>
        <v>/Excel files/Caseload Sheets/Josephine_OT_Caseload.xlsx</v>
      </c>
      <c r="H23" s="19" t="b">
        <v>0</v>
      </c>
    </row>
    <row r="24" spans="1:8" hidden="1">
      <c r="A24" s="25" t="s">
        <v>36</v>
      </c>
      <c r="B24" s="25" t="s">
        <v>35</v>
      </c>
      <c r="C24" s="25" t="s">
        <v>12</v>
      </c>
      <c r="D24" s="25">
        <v>1</v>
      </c>
      <c r="E24" s="14" t="b">
        <v>1</v>
      </c>
      <c r="F24" s="16" t="str">
        <f t="shared" si="0"/>
        <v>/Excel files/KPI Files/KPI/therapistkpi/Lynn_Test - Coaching and Performance.xlsx</v>
      </c>
      <c r="G24" s="17" t="str">
        <f t="shared" si="1"/>
        <v>/Excel files/Caseload Sheets/Lynn_OT_Caseload.xlsx</v>
      </c>
      <c r="H24" s="19" t="b">
        <v>0</v>
      </c>
    </row>
    <row r="25" spans="1:8" hidden="1">
      <c r="A25" s="25" t="s">
        <v>37</v>
      </c>
      <c r="B25" s="25" t="s">
        <v>35</v>
      </c>
      <c r="C25" s="25" t="s">
        <v>12</v>
      </c>
      <c r="D25" s="25">
        <v>1</v>
      </c>
      <c r="E25" s="14" t="b">
        <v>1</v>
      </c>
      <c r="F25" s="16" t="str">
        <f t="shared" si="0"/>
        <v>/Excel files/KPI Files/KPI/therapistkpi/Isabella_Test - Coaching and Performance.xlsx</v>
      </c>
      <c r="G25" s="17" t="str">
        <f t="shared" si="1"/>
        <v>/Excel files/Caseload Sheets/Isabella_OT_Caseload.xlsx</v>
      </c>
      <c r="H25" s="19" t="b">
        <v>0</v>
      </c>
    </row>
    <row r="26" spans="1:8" hidden="1">
      <c r="A26" s="26" t="s">
        <v>38</v>
      </c>
      <c r="B26" s="26" t="s">
        <v>35</v>
      </c>
      <c r="C26" s="26" t="s">
        <v>12</v>
      </c>
      <c r="D26" s="26">
        <v>1</v>
      </c>
      <c r="E26" s="20" t="b">
        <v>1</v>
      </c>
      <c r="F26" s="21" t="str">
        <f t="shared" si="0"/>
        <v>/Excel files/KPI Files/KPI/therapistkpi/Charlotte_Test - Coaching and Performance.xlsx</v>
      </c>
      <c r="G26" s="22" t="str">
        <f t="shared" si="1"/>
        <v>/Excel files/Caseload Sheets/Charlotte_OT_Caseload.xlsx</v>
      </c>
      <c r="H26" s="23" t="b">
        <v>0</v>
      </c>
    </row>
    <row r="27" spans="1:8" hidden="1">
      <c r="A27" s="49" t="s">
        <v>39</v>
      </c>
      <c r="B27" s="49" t="s">
        <v>35</v>
      </c>
      <c r="C27" s="49" t="s">
        <v>12</v>
      </c>
      <c r="D27" s="49">
        <v>1</v>
      </c>
      <c r="E27" s="50" t="b">
        <v>1</v>
      </c>
      <c r="F27" s="51" t="str">
        <f t="shared" si="0"/>
        <v>/Excel files/KPI Files/KPI/therapistkpi/Portia_Test - Coaching and Performance.xlsx</v>
      </c>
      <c r="G27" s="51" t="str">
        <f t="shared" si="1"/>
        <v>/Excel files/Caseload Sheets/Portia_OT_Caseload.xlsx</v>
      </c>
      <c r="H27" s="51" t="b">
        <v>0</v>
      </c>
    </row>
    <row r="28" spans="1:8" hidden="1">
      <c r="A28" s="26" t="s">
        <v>40</v>
      </c>
      <c r="B28" s="26" t="s">
        <v>35</v>
      </c>
      <c r="C28" s="26" t="s">
        <v>12</v>
      </c>
      <c r="D28" s="26">
        <v>1</v>
      </c>
      <c r="E28" s="20" t="b">
        <v>1</v>
      </c>
      <c r="F28" s="52" t="str">
        <f t="shared" si="0"/>
        <v>/Excel files/KPI Files/KPI/therapistkpi/Caitlin_Test - Coaching and Performance.xlsx</v>
      </c>
      <c r="G28" s="53" t="str">
        <f t="shared" si="1"/>
        <v>/Excel files/Caseload Sheets/Caitlin_OT_Caseload.xlsx</v>
      </c>
      <c r="H28" s="23" t="b">
        <v>0</v>
      </c>
    </row>
    <row r="29" spans="1:8" hidden="1">
      <c r="A29" s="49" t="s">
        <v>41</v>
      </c>
      <c r="B29" s="49" t="s">
        <v>35</v>
      </c>
      <c r="C29" s="49" t="s">
        <v>17</v>
      </c>
      <c r="D29" s="49">
        <v>1</v>
      </c>
      <c r="E29" s="50" t="b">
        <v>1</v>
      </c>
      <c r="F29" s="51" t="str">
        <f t="shared" si="0"/>
        <v>/Excel files/KPI Files/KPI/therapistkpi/Bao_Test - Coaching and Performance.xlsx</v>
      </c>
      <c r="G29" s="51" t="str">
        <f t="shared" si="1"/>
        <v>/Excel files/Caseload Sheets/Bao_OT_Caseload.xlsx</v>
      </c>
      <c r="H29" s="51" t="b">
        <v>0</v>
      </c>
    </row>
    <row r="30" spans="1:8" hidden="1">
      <c r="A30" s="49" t="s">
        <v>42</v>
      </c>
      <c r="B30" s="49" t="s">
        <v>35</v>
      </c>
      <c r="C30" s="49" t="s">
        <v>17</v>
      </c>
      <c r="D30" s="49">
        <v>1</v>
      </c>
      <c r="E30" s="50" t="b">
        <v>0</v>
      </c>
      <c r="F30" s="51" t="str">
        <f t="shared" si="0"/>
        <v>/Excel files/KPI Files/KPI/therapistkpi/Jiayee_Test - Coaching and Performance.xlsx</v>
      </c>
      <c r="G30" s="51" t="str">
        <f t="shared" si="1"/>
        <v>/Excel files/Caseload Sheets/Jiayee_OT_Caseload.xlsx</v>
      </c>
      <c r="H30" s="51" t="b">
        <v>0</v>
      </c>
    </row>
    <row r="31" spans="1:8" hidden="1">
      <c r="A31" s="49" t="s">
        <v>43</v>
      </c>
      <c r="B31" s="49" t="s">
        <v>35</v>
      </c>
      <c r="C31" s="49" t="s">
        <v>17</v>
      </c>
      <c r="D31" s="49">
        <v>1</v>
      </c>
      <c r="E31" s="50" t="b">
        <v>0</v>
      </c>
      <c r="F31" s="51" t="str">
        <f t="shared" si="0"/>
        <v>/Excel files/KPI Files/KPI/therapistkpi/Sabrina_Test - Coaching and Performance.xlsx</v>
      </c>
      <c r="G31" s="51" t="str">
        <f t="shared" si="1"/>
        <v>/Excel files/Caseload Sheets/Sabrina_OT_Caseload.xlsx</v>
      </c>
      <c r="H31" s="51" t="b">
        <v>0</v>
      </c>
    </row>
    <row r="32" spans="1:8" hidden="1">
      <c r="A32" s="49" t="s">
        <v>44</v>
      </c>
      <c r="B32" s="49" t="s">
        <v>35</v>
      </c>
      <c r="C32" s="49" t="s">
        <v>17</v>
      </c>
      <c r="D32" s="49">
        <v>1</v>
      </c>
      <c r="E32" s="50" t="b">
        <v>0</v>
      </c>
      <c r="F32" s="51" t="str">
        <f t="shared" si="0"/>
        <v>/Excel files/KPI Files/KPI/therapistkpi/Rainie_Test - Coaching and Performance.xlsx</v>
      </c>
      <c r="G32" s="51" t="str">
        <f t="shared" si="1"/>
        <v>/Excel files/Caseload Sheets/Rainie_OT_Caseload.xlsx</v>
      </c>
      <c r="H32" s="51" t="b">
        <v>0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79609E-F37F-40B1-9F97-CB6C2E702A4A}">
          <x14:formula1>
            <xm:f>'Lookup Validations'!$A$2:$A$4</xm:f>
          </x14:formula1>
          <xm:sqref>B2:B32</xm:sqref>
        </x14:dataValidation>
        <x14:dataValidation type="list" allowBlank="1" showInputMessage="1" showErrorMessage="1" xr:uid="{0992B19F-75A5-4BD6-9FD2-F9F19E996AB6}">
          <x14:formula1>
            <xm:f>'Lookup Validations'!$B$2:$B$4</xm:f>
          </x14:formula1>
          <xm:sqref>C2:C32</xm:sqref>
        </x14:dataValidation>
        <x14:dataValidation type="list" allowBlank="1" showInputMessage="1" showErrorMessage="1" xr:uid="{BD030018-D723-4604-BB59-CFFFF5A953AC}">
          <x14:formula1>
            <xm:f>'Lookup Validations'!$C$2:$C$3</xm:f>
          </x14:formula1>
          <xm:sqref>E2:E32</xm:sqref>
        </x14:dataValidation>
        <x14:dataValidation type="list" allowBlank="1" showInputMessage="1" showErrorMessage="1" xr:uid="{E3DF0EEF-AAE7-4401-9F62-DC1B17138570}">
          <x14:formula1>
            <xm:f>'Lookup Validations'!$D$2:$D$3</xm:f>
          </x14:formula1>
          <xm:sqref>H2:H32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431A-2AF9-45C3-8E1B-E4AF61BB90EE}">
  <dimension ref="A1:D5"/>
  <sheetViews>
    <sheetView workbookViewId="0">
      <selection activeCell="C3" sqref="C3"/>
    </sheetView>
  </sheetViews>
  <sheetFormatPr defaultRowHeight="15"/>
  <cols>
    <col min="1" max="1" width="13.140625" customWidth="1"/>
    <col min="2" max="2" width="14.5703125" bestFit="1" customWidth="1"/>
    <col min="3" max="3" width="15.5703125" bestFit="1" customWidth="1"/>
    <col min="4" max="4" width="27.28515625" customWidth="1"/>
  </cols>
  <sheetData>
    <row r="1" spans="1:4">
      <c r="A1" t="s">
        <v>0</v>
      </c>
      <c r="B1" t="s">
        <v>2</v>
      </c>
      <c r="C1" t="s">
        <v>45</v>
      </c>
      <c r="D1" t="s">
        <v>46</v>
      </c>
    </row>
    <row r="2" spans="1:4">
      <c r="A2" t="s">
        <v>15</v>
      </c>
      <c r="B2" t="s">
        <v>12</v>
      </c>
      <c r="C2" s="48">
        <v>46023</v>
      </c>
      <c r="D2" t="str">
        <f>IF(
  ISNA(
    _xlfn.XMATCH(Config_Competency_History[[#This Row],[Name]], Config_Therapists[Name])
  ),
  "❌ Not in Config_Therapists",
  "OK"
)</f>
        <v>OK</v>
      </c>
    </row>
    <row r="3" spans="1:4">
      <c r="A3" t="s">
        <v>15</v>
      </c>
      <c r="B3" t="s">
        <v>10</v>
      </c>
      <c r="C3" s="48">
        <v>46054</v>
      </c>
      <c r="D3" t="str">
        <f>IF(
  ISNA(
    _xlfn.XMATCH(Config_Competency_History[[#This Row],[Name]], Config_Therapists[Name])
  ),
  "❌ Not in Config_Therapists",
  "OK"
)</f>
        <v>OK</v>
      </c>
    </row>
    <row r="4" spans="1:4">
      <c r="A4" t="s">
        <v>47</v>
      </c>
      <c r="C4" s="48"/>
      <c r="D4" t="str">
        <f>IF(
  ISNA(
    _xlfn.XMATCH(Config_Competency_History[[#This Row],[Name]], Config_Therapists[Name])
  ),
  "❌ Not in Config_Therapists",
  "OK"
)</f>
        <v>❌ Not in Config_Therapists</v>
      </c>
    </row>
    <row r="5" spans="1:4">
      <c r="C5" s="48"/>
      <c r="D5" t="str">
        <f>IF(
  ISNA(
    _xlfn.XMATCH(Config_Competency_History[[#This Row],[Name]], Config_Therapists[Name])
  ),
  "❌ Not in Config_Therapists",
  "OK"
)</f>
        <v>❌ Not in Config_Therapists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58C9-91D5-4861-9724-C435BFE344F5}">
  <dimension ref="A1:F8"/>
  <sheetViews>
    <sheetView workbookViewId="0">
      <selection activeCell="E8" sqref="A6:E8"/>
    </sheetView>
  </sheetViews>
  <sheetFormatPr defaultRowHeight="15"/>
  <cols>
    <col min="1" max="1" width="15" customWidth="1"/>
    <col min="2" max="2" width="20.5703125" customWidth="1"/>
    <col min="3" max="3" width="20.7109375" customWidth="1"/>
    <col min="4" max="4" width="21" customWidth="1"/>
    <col min="5" max="5" width="21.28515625" customWidth="1"/>
    <col min="6" max="6" width="15.140625" customWidth="1"/>
  </cols>
  <sheetData>
    <row r="1" spans="1:6">
      <c r="A1" t="s">
        <v>1</v>
      </c>
      <c r="B1" t="s">
        <v>48</v>
      </c>
      <c r="C1" t="s">
        <v>49</v>
      </c>
      <c r="D1" t="s">
        <v>50</v>
      </c>
      <c r="E1" t="s">
        <v>51</v>
      </c>
      <c r="F1" t="s">
        <v>45</v>
      </c>
    </row>
    <row r="2" spans="1:6">
      <c r="A2" t="s">
        <v>9</v>
      </c>
      <c r="B2">
        <v>5</v>
      </c>
      <c r="C2">
        <v>5</v>
      </c>
      <c r="D2">
        <v>5.4</v>
      </c>
      <c r="E2">
        <v>5.4</v>
      </c>
      <c r="F2" s="54">
        <v>46023</v>
      </c>
    </row>
    <row r="3" spans="1:6">
      <c r="A3" t="s">
        <v>23</v>
      </c>
      <c r="B3">
        <v>5</v>
      </c>
      <c r="C3">
        <v>5</v>
      </c>
      <c r="D3">
        <v>5.4</v>
      </c>
      <c r="E3">
        <v>5.4</v>
      </c>
      <c r="F3" s="54">
        <v>46023</v>
      </c>
    </row>
    <row r="4" spans="1:6">
      <c r="A4" t="s">
        <v>35</v>
      </c>
      <c r="B4">
        <v>4.3</v>
      </c>
      <c r="C4">
        <v>4.3</v>
      </c>
      <c r="D4">
        <v>4.9000000000000004</v>
      </c>
      <c r="E4">
        <v>4.9000000000000004</v>
      </c>
      <c r="F4" s="54">
        <v>46023</v>
      </c>
    </row>
    <row r="5" spans="1:6">
      <c r="A5" t="s">
        <v>35</v>
      </c>
      <c r="B5">
        <v>4</v>
      </c>
      <c r="C5">
        <v>4</v>
      </c>
      <c r="D5">
        <v>4.5999999999999996</v>
      </c>
      <c r="E5">
        <v>4.5999999999999996</v>
      </c>
      <c r="F5" s="54">
        <v>46082</v>
      </c>
    </row>
    <row r="6" spans="1:6">
      <c r="A6" t="s">
        <v>9</v>
      </c>
      <c r="B6" s="55" cm="1">
        <f t="array" ref="B6">SUMPRODUCT(
    (Config_Therapists[Team]="Physio_North")*(Config_Therapists[IsActive]=TRUE)*Config_Therapists[FTE],
    _xlfn.XLOOKUP(Config_Therapists[Competency],Thresholds_Physio_Billings[Competency],Thresholds_Physio_Billings[Billings_Red_Below],0)
)
/
SUMPRODUCT((Config_Therapists[Team]="Physio_North")*(Config_Therapists[IsActive]=TRUE)*Config_Therapists[FTE])</f>
        <v>4.9886363636363633</v>
      </c>
      <c r="C6" s="55" cm="1">
        <f t="array" ref="C6">SUMPRODUCT(
    (Config_Therapists[Team]="Physio_North")*(Config_Therapists[IsActive]=TRUE)*Config_Therapists[FTE],
    _xlfn.XLOOKUP(Config_Therapists[Competency],Thresholds_Physio_Billings[Competency],Thresholds_Physio_Billings[Billings_Green_Min],0)
)
/
SUMPRODUCT((Config_Therapists[Team]="Physio_North")*(Config_Therapists[IsActive]=TRUE)*Config_Therapists[FTE])</f>
        <v>4.9886363636363633</v>
      </c>
      <c r="D6" s="55" cm="1">
        <f t="array" ref="D6">SUMPRODUCT(
    (Config_Therapists[Team]="Physio_North")*(Config_Therapists[IsActive]=TRUE)*Config_Therapists[FTE],
    _xlfn.XLOOKUP(Config_Therapists[Competency],Thresholds_Physio_Billings[Competency],Thresholds_Physio_Billings[Billings_Green_Max],0)
)
/
SUMPRODUCT((Config_Therapists[Team]="Physio_North")*(Config_Therapists[IsActive]=TRUE)*Config_Therapists[FTE])</f>
        <v>5.3886363636363628</v>
      </c>
      <c r="E6" s="55" cm="1">
        <f t="array" ref="E6">SUMPRODUCT(
    (Config_Therapists[Team]="Physio_North")*(Config_Therapists[IsActive]=TRUE)*Config_Therapists[FTE],
    _xlfn.XLOOKUP(Config_Therapists[Competency],Thresholds_Physio_Billings[Competency],Thresholds_Physio_Billings[Billings_Blue_Above],0)
)
/
SUMPRODUCT((Config_Therapists[Team]="Physio_North")*(Config_Therapists[IsActive]=TRUE)*Config_Therapists[FTE])</f>
        <v>5.3886363636363628</v>
      </c>
      <c r="F6" s="54"/>
    </row>
    <row r="7" spans="1:6">
      <c r="A7" t="s">
        <v>23</v>
      </c>
      <c r="B7" s="55" cm="1">
        <f t="array" ref="B7">SUMPRODUCT(
    (Config_Therapists[Team]="Physio_South")*(Config_Therapists[IsActive]=TRUE)*Config_Therapists[FTE],
    _xlfn.XLOOKUP(Config_Therapists[Competency],Thresholds_Physio_Billings[Competency],Thresholds_Physio_Billings[Billings_Red_Below],0)
)
/
SUMPRODUCT((Config_Therapists[Team]="Physio_South")*(Config_Therapists[IsActive]=TRUE)*Config_Therapists[FTE])</f>
        <v>4.8782608695652172</v>
      </c>
      <c r="C7" s="55" cm="1">
        <f t="array" ref="C7">SUMPRODUCT(
    (Config_Therapists[Team]="Physio_South")*(Config_Therapists[IsActive]=TRUE)*Config_Therapists[FTE],
    _xlfn.XLOOKUP(Config_Therapists[Competency],Thresholds_Physio_Billings[Competency],Thresholds_Physio_Billings[Billings_Green_Min],0)
)
/
SUMPRODUCT((Config_Therapists[Team]="Physio_South")*(Config_Therapists[IsActive]=TRUE)*Config_Therapists[FTE])</f>
        <v>4.8782608695652172</v>
      </c>
      <c r="D7" s="55" cm="1">
        <f t="array" ref="D7">SUMPRODUCT(
    (Config_Therapists[Team]="Physio_South")*(Config_Therapists[IsActive]=TRUE)*Config_Therapists[FTE],
    _xlfn.XLOOKUP(Config_Therapists[Competency],Thresholds_Physio_Billings[Competency],Thresholds_Physio_Billings[Billings_Green_Max],0)
)
/
SUMPRODUCT((Config_Therapists[Team]="Physio_South")*(Config_Therapists[IsActive]=TRUE)*Config_Therapists[FTE])</f>
        <v>5.302173913043478</v>
      </c>
      <c r="E7" s="55" cm="1">
        <f t="array" ref="E7">SUMPRODUCT(
    (Config_Therapists[Team]="Physio_South")*(Config_Therapists[IsActive]=TRUE)*Config_Therapists[FTE],
    _xlfn.XLOOKUP(Config_Therapists[Competency],Thresholds_Physio_Billings[Competency],Thresholds_Physio_Billings[Billings_Blue_Above],0)
)
/
SUMPRODUCT((Config_Therapists[Team]="Physio_South")*(Config_Therapists[IsActive]=TRUE)*Config_Therapists[FTE])</f>
        <v>5.302173913043478</v>
      </c>
      <c r="F7" s="54"/>
    </row>
    <row r="8" spans="1:6">
      <c r="A8" t="s">
        <v>35</v>
      </c>
      <c r="B8" s="55" cm="1">
        <f t="array" ref="B8">SUMPRODUCT(
    (Config_Therapists[Team]="OT")*(Config_Therapists[IsActive]=TRUE)*Config_Therapists[FTE],
    _xlfn.XLOOKUP(Config_Therapists[Competency],Thresholds_OT_Billings[Competency],Thresholds_OT_Billings[Billings_Red_Below],0)
)
/
SUMPRODUCT((Config_Therapists[Team]="OT")*(Config_Therapists[IsActive]=TRUE)*Config_Therapists[FTE])</f>
        <v>4.4714285714285715</v>
      </c>
      <c r="C8" s="55" cm="1">
        <f t="array" ref="C8">SUMPRODUCT(
    (Config_Therapists[Team]="OT")*(Config_Therapists[IsActive]=TRUE)*Config_Therapists[FTE],
    _xlfn.XLOOKUP(Config_Therapists[Competency],Thresholds_OT_Billings[Competency],Thresholds_OT_Billings[Billings_Green_Min],0)
)
/
SUMPRODUCT((Config_Therapists[Team]="OT")*(Config_Therapists[IsActive]=TRUE)*Config_Therapists[FTE])</f>
        <v>4.4714285714285715</v>
      </c>
      <c r="D8" s="55" cm="1">
        <f t="array" ref="D8">SUMPRODUCT(
    (Config_Therapists[Team]="OT")*(Config_Therapists[IsActive]=TRUE)*Config_Therapists[FTE],
    _xlfn.XLOOKUP(Config_Therapists[Competency],Thresholds_OT_Billings[Competency],Thresholds_OT_Billings[Billings_Green_Max],0)
)
/
SUMPRODUCT((Config_Therapists[Team]="OT")*(Config_Therapists[IsActive]=TRUE)*Config_Therapists[FTE])</f>
        <v>5</v>
      </c>
      <c r="E8" s="55" cm="1">
        <f t="array" ref="E8">SUMPRODUCT(
    (Config_Therapists[Team]="OT")*(Config_Therapists[IsActive]=TRUE)*Config_Therapists[FTE],
    _xlfn.XLOOKUP(Config_Therapists[Competency],Thresholds_OT_Billings[Competency],Thresholds_OT_Billings[Billings_Blue_Above],0)
)
/
SUMPRODUCT((Config_Therapists[Team]="OT")*(Config_Therapists[IsActive]=TRUE)*Config_Therapists[FTE])</f>
        <v>5</v>
      </c>
      <c r="F8" s="54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F621-1313-446E-89C9-74EC385B6E5A}">
  <dimension ref="A1:E12"/>
  <sheetViews>
    <sheetView workbookViewId="0">
      <selection activeCell="A10" sqref="A10:E12"/>
    </sheetView>
  </sheetViews>
  <sheetFormatPr defaultRowHeight="15"/>
  <cols>
    <col min="1" max="1" width="12.7109375" customWidth="1"/>
    <col min="2" max="5" width="24.28515625" customWidth="1"/>
  </cols>
  <sheetData>
    <row r="1" spans="1:5" ht="30">
      <c r="A1" s="47" t="s">
        <v>1</v>
      </c>
      <c r="B1" s="47" t="s">
        <v>2</v>
      </c>
      <c r="C1" s="47" t="s">
        <v>4</v>
      </c>
      <c r="D1" s="47" t="s">
        <v>7</v>
      </c>
    </row>
    <row r="2" spans="1:5">
      <c r="A2" t="s">
        <v>35</v>
      </c>
      <c r="B2" t="s">
        <v>17</v>
      </c>
      <c r="C2" t="b">
        <v>1</v>
      </c>
      <c r="D2" t="b">
        <v>1</v>
      </c>
    </row>
    <row r="3" spans="1:5" ht="17.25" customHeight="1">
      <c r="A3" t="s">
        <v>9</v>
      </c>
      <c r="B3" t="s">
        <v>12</v>
      </c>
      <c r="C3" t="b">
        <v>0</v>
      </c>
      <c r="D3" t="b">
        <v>0</v>
      </c>
    </row>
    <row r="4" spans="1:5">
      <c r="A4" t="s">
        <v>23</v>
      </c>
      <c r="B4" t="s">
        <v>10</v>
      </c>
    </row>
    <row r="9" spans="1:5">
      <c r="A9" t="s">
        <v>1</v>
      </c>
      <c r="B9" t="s">
        <v>48</v>
      </c>
      <c r="C9" s="12" t="s">
        <v>49</v>
      </c>
      <c r="D9" s="12" t="s">
        <v>50</v>
      </c>
      <c r="E9" s="12" t="s">
        <v>51</v>
      </c>
    </row>
    <row r="10" spans="1:5">
      <c r="A10" t="s">
        <v>9</v>
      </c>
      <c r="B10" s="55" cm="1">
        <f t="array" ref="B10">SUMPRODUCT(
    (Config_Therapists[Team]="Physio_North")*(Config_Therapists[IsActive]=TRUE)*Config_Therapists[FTE],
    _xlfn.XLOOKUP(Config_Therapists[Competency],Thresholds_Physio_Billings[Competency],Thresholds_Physio_Billings[Billings_Red_Below],0)
)
/
SUMPRODUCT((Config_Therapists[Team]="Physio_North")*(Config_Therapists[IsActive]=TRUE)*Config_Therapists[FTE])</f>
        <v>4.9886363636363633</v>
      </c>
      <c r="C10" s="55" cm="1">
        <f t="array" ref="C10">SUMPRODUCT(
    (Config_Therapists[Team]="Physio_North")*(Config_Therapists[IsActive]=TRUE)*Config_Therapists[FTE],
    _xlfn.XLOOKUP(Config_Therapists[Competency],Thresholds_Physio_Billings[Competency],Thresholds_Physio_Billings[Billings_Green_Min],0)
)
/
SUMPRODUCT((Config_Therapists[Team]="Physio_North")*(Config_Therapists[IsActive]=TRUE)*Config_Therapists[FTE])</f>
        <v>4.9886363636363633</v>
      </c>
      <c r="D10" s="55" cm="1">
        <f t="array" ref="D10">SUMPRODUCT(
    (Config_Therapists[Team]="Physio_North")*(Config_Therapists[IsActive]=TRUE)*Config_Therapists[FTE],
    _xlfn.XLOOKUP(Config_Therapists[Competency],Thresholds_Physio_Billings[Competency],Thresholds_Physio_Billings[Billings_Green_Max],0)
)
/
SUMPRODUCT((Config_Therapists[Team]="Physio_North")*(Config_Therapists[IsActive]=TRUE)*Config_Therapists[FTE])</f>
        <v>5.3886363636363628</v>
      </c>
      <c r="E10" s="55" cm="1">
        <f t="array" ref="E10">SUMPRODUCT(
    (Config_Therapists[Team]="Physio_North")*(Config_Therapists[IsActive]=TRUE)*Config_Therapists[FTE],
    _xlfn.XLOOKUP(Config_Therapists[Competency],Thresholds_Physio_Billings[Competency],Thresholds_Physio_Billings[Billings_Blue_Above],0)
)
/
SUMPRODUCT((Config_Therapists[Team]="Physio_North")*(Config_Therapists[IsActive]=TRUE)*Config_Therapists[FTE])</f>
        <v>5.3886363636363628</v>
      </c>
    </row>
    <row r="11" spans="1:5">
      <c r="A11" t="s">
        <v>23</v>
      </c>
      <c r="B11" s="55" cm="1">
        <f t="array" ref="B11">SUMPRODUCT(
    (Config_Therapists[Team]="Physio_South")*(Config_Therapists[IsActive]=TRUE)*Config_Therapists[FTE],
    _xlfn.XLOOKUP(Config_Therapists[Competency],Thresholds_Physio_Billings[Competency],Thresholds_Physio_Billings[Billings_Red_Below],0)
)
/
SUMPRODUCT((Config_Therapists[Team]="Physio_South")*(Config_Therapists[IsActive]=TRUE)*Config_Therapists[FTE])</f>
        <v>4.8782608695652172</v>
      </c>
      <c r="C11" s="55" cm="1">
        <f t="array" ref="C11">SUMPRODUCT(
    (Config_Therapists[Team]="Physio_South")*(Config_Therapists[IsActive]=TRUE)*Config_Therapists[FTE],
    _xlfn.XLOOKUP(Config_Therapists[Competency],Thresholds_Physio_Billings[Competency],Thresholds_Physio_Billings[Billings_Green_Min],0)
)
/
SUMPRODUCT((Config_Therapists[Team]="Physio_South")*(Config_Therapists[IsActive]=TRUE)*Config_Therapists[FTE])</f>
        <v>4.8782608695652172</v>
      </c>
      <c r="D11" s="55" cm="1">
        <f t="array" ref="D11">SUMPRODUCT(
    (Config_Therapists[Team]="Physio_South")*(Config_Therapists[IsActive]=TRUE)*Config_Therapists[FTE],
    _xlfn.XLOOKUP(Config_Therapists[Competency],Thresholds_Physio_Billings[Competency],Thresholds_Physio_Billings[Billings_Green_Max],0)
)
/
SUMPRODUCT((Config_Therapists[Team]="Physio_South")*(Config_Therapists[IsActive]=TRUE)*Config_Therapists[FTE])</f>
        <v>5.302173913043478</v>
      </c>
      <c r="E11" s="55" cm="1">
        <f t="array" ref="E11">SUMPRODUCT(
    (Config_Therapists[Team]="Physio_South")*(Config_Therapists[IsActive]=TRUE)*Config_Therapists[FTE],
    _xlfn.XLOOKUP(Config_Therapists[Competency],Thresholds_Physio_Billings[Competency],Thresholds_Physio_Billings[Billings_Blue_Above],0)
)
/
SUMPRODUCT((Config_Therapists[Team]="Physio_South")*(Config_Therapists[IsActive]=TRUE)*Config_Therapists[FTE])</f>
        <v>5.302173913043478</v>
      </c>
    </row>
    <row r="12" spans="1:5">
      <c r="A12" t="s">
        <v>35</v>
      </c>
      <c r="B12" s="55" cm="1">
        <f t="array" ref="B12">SUMPRODUCT(
    (Config_Therapists[Team]="OT")*(Config_Therapists[IsActive]=TRUE)*Config_Therapists[FTE],
    _xlfn.XLOOKUP(Config_Therapists[Competency],Thresholds_OT_Billings[Competency],Thresholds_OT_Billings[Billings_Red_Below],0)
)
/
SUMPRODUCT((Config_Therapists[Team]="OT")*(Config_Therapists[IsActive]=TRUE)*Config_Therapists[FTE])</f>
        <v>4.4714285714285715</v>
      </c>
      <c r="C12" s="55" cm="1">
        <f t="array" ref="C12">SUMPRODUCT(
    (Config_Therapists[Team]="OT")*(Config_Therapists[IsActive]=TRUE)*Config_Therapists[FTE],
    _xlfn.XLOOKUP(Config_Therapists[Competency],Thresholds_OT_Billings[Competency],Thresholds_OT_Billings[Billings_Green_Min],0)
)
/
SUMPRODUCT((Config_Therapists[Team]="OT")*(Config_Therapists[IsActive]=TRUE)*Config_Therapists[FTE])</f>
        <v>4.4714285714285715</v>
      </c>
      <c r="D12" s="55" cm="1">
        <f t="array" ref="D12">SUMPRODUCT(
    (Config_Therapists[Team]="OT")*(Config_Therapists[IsActive]=TRUE)*Config_Therapists[FTE],
    _xlfn.XLOOKUP(Config_Therapists[Competency],Thresholds_OT_Billings[Competency],Thresholds_OT_Billings[Billings_Green_Max],0)
)
/
SUMPRODUCT((Config_Therapists[Team]="OT")*(Config_Therapists[IsActive]=TRUE)*Config_Therapists[FTE])</f>
        <v>5</v>
      </c>
      <c r="E12" s="55" cm="1">
        <f t="array" ref="E12">SUMPRODUCT(
    (Config_Therapists[Team]="OT")*(Config_Therapists[IsActive]=TRUE)*Config_Therapists[FTE],
    _xlfn.XLOOKUP(Config_Therapists[Competency],Thresholds_OT_Billings[Competency],Thresholds_OT_Billings[Billings_Blue_Above],0)
)
/
SUMPRODUCT((Config_Therapists[Team]="OT")*(Config_Therapists[IsActive]=TRUE)*Config_Therapists[FTE])</f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22" sqref="E22"/>
    </sheetView>
  </sheetViews>
  <sheetFormatPr defaultRowHeight="15"/>
  <cols>
    <col min="1" max="2" width="14" customWidth="1"/>
    <col min="3" max="3" width="12.28515625" bestFit="1" customWidth="1"/>
    <col min="4" max="4" width="70" customWidth="1"/>
    <col min="5" max="5" width="25.7109375" bestFit="1" customWidth="1"/>
  </cols>
  <sheetData>
    <row r="1" spans="1:5" ht="30" customHeight="1">
      <c r="A1" s="11" t="s">
        <v>52</v>
      </c>
      <c r="B1" s="12" t="s">
        <v>53</v>
      </c>
      <c r="C1" s="12" t="s">
        <v>54</v>
      </c>
      <c r="D1" s="12" t="s">
        <v>55</v>
      </c>
      <c r="E1" s="28" t="s">
        <v>56</v>
      </c>
    </row>
    <row r="2" spans="1:5">
      <c r="A2" s="30" t="s">
        <v>35</v>
      </c>
      <c r="B2" s="31" t="s">
        <v>35</v>
      </c>
      <c r="C2" s="31" t="s">
        <v>35</v>
      </c>
      <c r="D2" s="1" t="s">
        <v>57</v>
      </c>
      <c r="E2" s="27" t="s">
        <v>58</v>
      </c>
    </row>
    <row r="3" spans="1:5">
      <c r="A3" s="30" t="s">
        <v>9</v>
      </c>
      <c r="B3" s="31" t="s">
        <v>59</v>
      </c>
      <c r="C3" s="31" t="s">
        <v>60</v>
      </c>
      <c r="D3" s="1" t="s">
        <v>57</v>
      </c>
      <c r="E3" s="27" t="s">
        <v>61</v>
      </c>
    </row>
    <row r="4" spans="1:5">
      <c r="A4" s="32" t="s">
        <v>23</v>
      </c>
      <c r="B4" s="33" t="s">
        <v>62</v>
      </c>
      <c r="C4" s="33" t="s">
        <v>60</v>
      </c>
      <c r="D4" s="10" t="s">
        <v>57</v>
      </c>
      <c r="E4" s="29" t="s">
        <v>63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selection activeCell="C1" sqref="C1:E1"/>
    </sheetView>
  </sheetViews>
  <sheetFormatPr defaultRowHeight="15"/>
  <cols>
    <col min="1" max="1" width="28" customWidth="1"/>
    <col min="2" max="3" width="21.140625" customWidth="1"/>
    <col min="4" max="4" width="21.5703125" customWidth="1"/>
    <col min="5" max="5" width="22" customWidth="1"/>
  </cols>
  <sheetData>
    <row r="1" spans="1:5">
      <c r="A1" s="12" t="s">
        <v>2</v>
      </c>
      <c r="B1" s="12" t="s">
        <v>48</v>
      </c>
      <c r="C1" s="12" t="s">
        <v>49</v>
      </c>
      <c r="D1" s="12" t="s">
        <v>50</v>
      </c>
      <c r="E1" s="12" t="s">
        <v>51</v>
      </c>
    </row>
    <row r="2" spans="1:5">
      <c r="A2" s="31" t="s">
        <v>17</v>
      </c>
      <c r="B2" s="1">
        <v>4.5</v>
      </c>
      <c r="C2" s="1">
        <v>4.5</v>
      </c>
      <c r="D2" s="1">
        <v>5</v>
      </c>
      <c r="E2" s="1">
        <v>5</v>
      </c>
    </row>
    <row r="3" spans="1:5">
      <c r="A3" s="31" t="s">
        <v>12</v>
      </c>
      <c r="B3" s="1">
        <v>5</v>
      </c>
      <c r="C3" s="1">
        <v>5</v>
      </c>
      <c r="D3" s="1">
        <v>5.4</v>
      </c>
      <c r="E3" s="1">
        <v>5.4</v>
      </c>
    </row>
    <row r="4" spans="1:5">
      <c r="A4" s="33" t="s">
        <v>10</v>
      </c>
      <c r="B4" s="10">
        <v>5.4</v>
      </c>
      <c r="C4" s="10">
        <v>5.4</v>
      </c>
      <c r="D4" s="10">
        <v>5.7</v>
      </c>
      <c r="E4" s="10">
        <v>5.7</v>
      </c>
    </row>
    <row r="5" spans="1:5">
      <c r="A5" s="35" t="s">
        <v>64</v>
      </c>
      <c r="B5" s="34">
        <v>5</v>
      </c>
      <c r="C5" s="34">
        <v>5</v>
      </c>
      <c r="D5" s="34">
        <v>5.4</v>
      </c>
      <c r="E5" s="34">
        <v>5.4</v>
      </c>
    </row>
    <row r="7" spans="1:5">
      <c r="A7" s="2" t="s">
        <v>65</v>
      </c>
    </row>
    <row r="8" spans="1:5">
      <c r="A8" s="36" t="s">
        <v>66</v>
      </c>
      <c r="B8" s="37" t="s">
        <v>67</v>
      </c>
      <c r="C8" s="37" t="s">
        <v>68</v>
      </c>
      <c r="D8" s="37" t="s">
        <v>69</v>
      </c>
      <c r="E8" s="28" t="s">
        <v>70</v>
      </c>
    </row>
    <row r="9" spans="1:5">
      <c r="A9" s="32" t="s">
        <v>71</v>
      </c>
      <c r="B9" s="10">
        <v>2.5000000000000001E-2</v>
      </c>
      <c r="C9" s="10">
        <v>1.4999999999999999E-2</v>
      </c>
      <c r="D9" s="10">
        <v>0.04</v>
      </c>
      <c r="E9" s="29">
        <v>0.04</v>
      </c>
    </row>
    <row r="11" spans="1:5">
      <c r="A11" s="2" t="s">
        <v>72</v>
      </c>
    </row>
    <row r="12" spans="1:5">
      <c r="A12" s="36" t="s">
        <v>73</v>
      </c>
      <c r="B12" s="37" t="s">
        <v>74</v>
      </c>
      <c r="C12" s="37" t="s">
        <v>75</v>
      </c>
      <c r="D12" s="37" t="s">
        <v>76</v>
      </c>
      <c r="E12" s="38" t="s">
        <v>77</v>
      </c>
    </row>
    <row r="13" spans="1:5">
      <c r="A13" s="30">
        <v>1</v>
      </c>
      <c r="B13" s="1">
        <v>1</v>
      </c>
      <c r="C13" s="1">
        <v>1.4990000000000001</v>
      </c>
      <c r="D13" s="39" t="s">
        <v>78</v>
      </c>
      <c r="E13" s="40" t="s">
        <v>79</v>
      </c>
    </row>
    <row r="14" spans="1:5">
      <c r="A14" s="30">
        <v>2</v>
      </c>
      <c r="B14" s="1">
        <v>1.5</v>
      </c>
      <c r="C14" s="1">
        <v>2.4990000000000001</v>
      </c>
      <c r="D14" s="39" t="s">
        <v>80</v>
      </c>
      <c r="E14" s="40" t="s">
        <v>81</v>
      </c>
    </row>
    <row r="15" spans="1:5">
      <c r="A15" s="30">
        <v>3</v>
      </c>
      <c r="B15" s="1">
        <v>2.5</v>
      </c>
      <c r="C15" s="1">
        <v>3.4990000000000001</v>
      </c>
      <c r="D15" s="39" t="s">
        <v>82</v>
      </c>
      <c r="E15" s="40" t="s">
        <v>83</v>
      </c>
    </row>
    <row r="16" spans="1:5">
      <c r="A16" s="30">
        <v>4</v>
      </c>
      <c r="B16" s="1">
        <v>3.5</v>
      </c>
      <c r="C16" s="1">
        <v>4.4989999999999997</v>
      </c>
      <c r="D16" s="39" t="s">
        <v>84</v>
      </c>
      <c r="E16" s="40" t="s">
        <v>85</v>
      </c>
    </row>
    <row r="17" spans="1:5">
      <c r="A17" s="30">
        <v>5</v>
      </c>
      <c r="B17" s="1">
        <v>4.5</v>
      </c>
      <c r="C17" s="1">
        <v>5</v>
      </c>
      <c r="D17" s="39" t="s">
        <v>86</v>
      </c>
      <c r="E17" s="40" t="s">
        <v>87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C3" sqref="C3"/>
    </sheetView>
  </sheetViews>
  <sheetFormatPr defaultRowHeight="15"/>
  <cols>
    <col min="1" max="1" width="41" customWidth="1"/>
    <col min="2" max="3" width="21.140625" customWidth="1"/>
    <col min="4" max="4" width="21.5703125" customWidth="1"/>
    <col min="5" max="5" width="22" customWidth="1"/>
  </cols>
  <sheetData>
    <row r="1" spans="1:5">
      <c r="A1" s="12" t="s">
        <v>2</v>
      </c>
      <c r="B1" s="12" t="s">
        <v>48</v>
      </c>
      <c r="C1" s="12" t="s">
        <v>49</v>
      </c>
      <c r="D1" s="12" t="s">
        <v>50</v>
      </c>
      <c r="E1" s="12" t="s">
        <v>51</v>
      </c>
    </row>
    <row r="2" spans="1:5">
      <c r="A2" s="31" t="s">
        <v>17</v>
      </c>
      <c r="B2" s="1">
        <v>4</v>
      </c>
      <c r="C2" s="1">
        <v>4</v>
      </c>
      <c r="D2" s="1">
        <v>4.8</v>
      </c>
      <c r="E2" s="1">
        <v>4.8</v>
      </c>
    </row>
    <row r="3" spans="1:5">
      <c r="A3" s="31" t="s">
        <v>12</v>
      </c>
      <c r="B3" s="1">
        <v>4.5</v>
      </c>
      <c r="C3" s="1">
        <v>4.5</v>
      </c>
      <c r="D3" s="1">
        <v>5</v>
      </c>
      <c r="E3" s="1">
        <v>5</v>
      </c>
    </row>
    <row r="4" spans="1:5">
      <c r="A4" s="33" t="s">
        <v>10</v>
      </c>
      <c r="B4" s="10">
        <v>4.8</v>
      </c>
      <c r="C4" s="10">
        <v>4.8</v>
      </c>
      <c r="D4" s="10">
        <v>5.2</v>
      </c>
      <c r="E4" s="10">
        <v>5.2</v>
      </c>
    </row>
    <row r="5" spans="1:5">
      <c r="A5" s="35" t="s">
        <v>64</v>
      </c>
      <c r="B5" s="34">
        <v>4.3</v>
      </c>
      <c r="C5" s="34">
        <v>4.3</v>
      </c>
      <c r="D5" s="34">
        <v>4.9000000000000004</v>
      </c>
      <c r="E5" s="34">
        <v>4.9000000000000004</v>
      </c>
    </row>
    <row r="7" spans="1:5">
      <c r="A7" s="2" t="s">
        <v>88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C9" sqref="C9"/>
    </sheetView>
  </sheetViews>
  <sheetFormatPr defaultRowHeight="15"/>
  <cols>
    <col min="1" max="1" width="9.28515625" bestFit="1" customWidth="1"/>
    <col min="2" max="2" width="12.28515625" bestFit="1" customWidth="1"/>
    <col min="3" max="3" width="59" customWidth="1"/>
    <col min="4" max="4" width="15.140625" bestFit="1" customWidth="1"/>
    <col min="5" max="5" width="59" customWidth="1"/>
  </cols>
  <sheetData>
    <row r="1" spans="1:5" ht="30" customHeight="1">
      <c r="A1" s="11" t="s">
        <v>89</v>
      </c>
      <c r="B1" s="12" t="s">
        <v>54</v>
      </c>
      <c r="C1" s="12" t="s">
        <v>90</v>
      </c>
      <c r="D1" s="12" t="s">
        <v>91</v>
      </c>
      <c r="E1" s="13" t="s">
        <v>92</v>
      </c>
    </row>
    <row r="2" spans="1:5">
      <c r="A2" s="30">
        <v>1</v>
      </c>
      <c r="B2" s="31" t="s">
        <v>60</v>
      </c>
      <c r="C2" s="1" t="s">
        <v>93</v>
      </c>
      <c r="D2" s="1">
        <v>1</v>
      </c>
      <c r="E2" s="39" t="s">
        <v>93</v>
      </c>
    </row>
    <row r="3" spans="1:5">
      <c r="A3" s="30">
        <v>2</v>
      </c>
      <c r="B3" s="31" t="s">
        <v>60</v>
      </c>
      <c r="C3" s="1" t="s">
        <v>94</v>
      </c>
      <c r="D3" s="1">
        <v>2</v>
      </c>
      <c r="E3" s="39" t="s">
        <v>94</v>
      </c>
    </row>
    <row r="4" spans="1:5">
      <c r="A4" s="30">
        <v>3</v>
      </c>
      <c r="B4" s="31" t="s">
        <v>60</v>
      </c>
      <c r="C4" s="1" t="s">
        <v>95</v>
      </c>
      <c r="D4" s="1">
        <v>3</v>
      </c>
      <c r="E4" s="39" t="s">
        <v>95</v>
      </c>
    </row>
    <row r="5" spans="1:5">
      <c r="A5" s="30">
        <v>4</v>
      </c>
      <c r="B5" s="31" t="s">
        <v>60</v>
      </c>
      <c r="C5" s="1" t="s">
        <v>96</v>
      </c>
      <c r="D5" s="1">
        <v>4</v>
      </c>
      <c r="E5" s="39" t="s">
        <v>96</v>
      </c>
    </row>
    <row r="6" spans="1:5">
      <c r="A6" s="30">
        <v>5</v>
      </c>
      <c r="B6" s="31" t="s">
        <v>60</v>
      </c>
      <c r="C6" s="1" t="s">
        <v>97</v>
      </c>
      <c r="D6" s="1">
        <v>5</v>
      </c>
      <c r="E6" s="39" t="s">
        <v>97</v>
      </c>
    </row>
    <row r="7" spans="1:5">
      <c r="A7" s="30">
        <v>6</v>
      </c>
      <c r="B7" s="31" t="s">
        <v>35</v>
      </c>
      <c r="C7" s="1" t="s">
        <v>93</v>
      </c>
      <c r="D7" s="1">
        <v>1</v>
      </c>
      <c r="E7" s="39" t="s">
        <v>93</v>
      </c>
    </row>
    <row r="8" spans="1:5">
      <c r="A8" s="30">
        <v>7</v>
      </c>
      <c r="B8" s="31" t="s">
        <v>35</v>
      </c>
      <c r="C8" s="1" t="s">
        <v>98</v>
      </c>
      <c r="D8" s="1">
        <v>2</v>
      </c>
      <c r="E8" s="39" t="s">
        <v>98</v>
      </c>
    </row>
    <row r="9" spans="1:5">
      <c r="A9" s="30">
        <v>8</v>
      </c>
      <c r="B9" s="31" t="s">
        <v>35</v>
      </c>
      <c r="C9" s="1" t="s">
        <v>99</v>
      </c>
      <c r="D9" s="1">
        <v>3</v>
      </c>
      <c r="E9" s="39" t="s">
        <v>99</v>
      </c>
    </row>
    <row r="10" spans="1:5">
      <c r="A10" s="30">
        <v>9</v>
      </c>
      <c r="B10" s="31" t="s">
        <v>35</v>
      </c>
      <c r="C10" s="1" t="s">
        <v>100</v>
      </c>
      <c r="D10" s="1">
        <v>4</v>
      </c>
      <c r="E10" s="39" t="s">
        <v>101</v>
      </c>
    </row>
    <row r="11" spans="1:5">
      <c r="A11" s="32">
        <v>10</v>
      </c>
      <c r="B11" s="33" t="s">
        <v>35</v>
      </c>
      <c r="C11" s="10" t="s">
        <v>102</v>
      </c>
      <c r="D11" s="10">
        <v>5</v>
      </c>
      <c r="E11" s="41" t="s">
        <v>102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1"/>
  <sheetViews>
    <sheetView workbookViewId="0"/>
  </sheetViews>
  <sheetFormatPr defaultRowHeight="15"/>
  <cols>
    <col min="1" max="1" width="80" customWidth="1"/>
  </cols>
  <sheetData>
    <row r="1" spans="1:1">
      <c r="A1" s="2" t="s">
        <v>103</v>
      </c>
    </row>
    <row r="3" spans="1:1">
      <c r="A3" s="2" t="s">
        <v>104</v>
      </c>
    </row>
    <row r="5" spans="1:1">
      <c r="A5" s="2" t="s">
        <v>105</v>
      </c>
    </row>
    <row r="6" spans="1:1">
      <c r="A6" t="s">
        <v>106</v>
      </c>
    </row>
    <row r="7" spans="1:1">
      <c r="A7" t="s">
        <v>107</v>
      </c>
    </row>
    <row r="8" spans="1:1">
      <c r="A8" t="s">
        <v>108</v>
      </c>
    </row>
    <row r="9" spans="1:1">
      <c r="A9" t="s">
        <v>109</v>
      </c>
    </row>
    <row r="10" spans="1:1">
      <c r="A10" t="s">
        <v>110</v>
      </c>
    </row>
    <row r="11" spans="1:1">
      <c r="A11" t="s">
        <v>111</v>
      </c>
    </row>
    <row r="13" spans="1:1">
      <c r="A13" s="2" t="s">
        <v>112</v>
      </c>
    </row>
    <row r="14" spans="1:1">
      <c r="A14" t="s">
        <v>113</v>
      </c>
    </row>
    <row r="15" spans="1:1">
      <c r="A15" t="s">
        <v>114</v>
      </c>
    </row>
    <row r="16" spans="1:1">
      <c r="A16" t="s">
        <v>115</v>
      </c>
    </row>
    <row r="17" spans="1:1">
      <c r="A17" s="2" t="s">
        <v>116</v>
      </c>
    </row>
    <row r="18" spans="1:1">
      <c r="A18" t="s">
        <v>117</v>
      </c>
    </row>
    <row r="19" spans="1:1">
      <c r="A19" t="s">
        <v>118</v>
      </c>
    </row>
    <row r="20" spans="1:1">
      <c r="A20" t="s">
        <v>119</v>
      </c>
    </row>
    <row r="22" spans="1:1">
      <c r="A22" s="2" t="s">
        <v>120</v>
      </c>
    </row>
    <row r="23" spans="1:1">
      <c r="A23" t="s">
        <v>121</v>
      </c>
    </row>
    <row r="24" spans="1:1">
      <c r="A24" t="s">
        <v>122</v>
      </c>
    </row>
    <row r="26" spans="1:1">
      <c r="A26" s="2" t="s">
        <v>123</v>
      </c>
    </row>
    <row r="27" spans="1:1">
      <c r="A27" t="s">
        <v>124</v>
      </c>
    </row>
    <row r="28" spans="1:1">
      <c r="A28" t="s">
        <v>125</v>
      </c>
    </row>
    <row r="29" spans="1:1">
      <c r="A29" t="s">
        <v>126</v>
      </c>
    </row>
    <row r="30" spans="1:1">
      <c r="A30" t="s">
        <v>127</v>
      </c>
    </row>
    <row r="31" spans="1:1">
      <c r="A31" t="s">
        <v>128</v>
      </c>
    </row>
    <row r="33" spans="1:1">
      <c r="A33" s="2" t="s">
        <v>129</v>
      </c>
    </row>
    <row r="34" spans="1:1">
      <c r="A34" t="s">
        <v>130</v>
      </c>
    </row>
    <row r="35" spans="1:1">
      <c r="A35" t="s">
        <v>131</v>
      </c>
    </row>
    <row r="36" spans="1:1">
      <c r="A36" t="s">
        <v>132</v>
      </c>
    </row>
    <row r="38" spans="1:1">
      <c r="A38" s="2" t="s">
        <v>133</v>
      </c>
    </row>
    <row r="39" spans="1:1">
      <c r="A39" t="s">
        <v>134</v>
      </c>
    </row>
    <row r="40" spans="1:1">
      <c r="A40" t="s">
        <v>135</v>
      </c>
    </row>
    <row r="41" spans="1:1">
      <c r="A41" t="s">
        <v>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M7" sqref="M7"/>
    </sheetView>
  </sheetViews>
  <sheetFormatPr defaultRowHeight="15"/>
  <cols>
    <col min="1" max="1" width="15.85546875" bestFit="1" customWidth="1"/>
    <col min="2" max="2" width="12.42578125" bestFit="1" customWidth="1"/>
    <col min="3" max="3" width="10" customWidth="1"/>
  </cols>
  <sheetData>
    <row r="1" spans="1:3">
      <c r="A1" s="43" t="s">
        <v>137</v>
      </c>
      <c r="B1" s="43" t="s">
        <v>138</v>
      </c>
      <c r="C1" t="s">
        <v>77</v>
      </c>
    </row>
    <row r="2" spans="1:3">
      <c r="A2" s="42" t="s">
        <v>79</v>
      </c>
      <c r="B2" s="42" t="s">
        <v>139</v>
      </c>
      <c r="C2" s="3"/>
    </row>
    <row r="3" spans="1:3">
      <c r="A3" s="42" t="s">
        <v>85</v>
      </c>
      <c r="B3" s="42" t="s">
        <v>140</v>
      </c>
      <c r="C3" s="4"/>
    </row>
    <row r="4" spans="1:3">
      <c r="A4" s="42" t="s">
        <v>141</v>
      </c>
      <c r="B4" s="42" t="s">
        <v>142</v>
      </c>
      <c r="C4" s="5"/>
    </row>
    <row r="5" spans="1:3">
      <c r="A5" s="42" t="s">
        <v>87</v>
      </c>
      <c r="B5" s="42" t="s">
        <v>143</v>
      </c>
      <c r="C5" s="6"/>
    </row>
    <row r="6" spans="1:3">
      <c r="A6" s="42" t="s">
        <v>83</v>
      </c>
      <c r="B6" s="42" t="s">
        <v>144</v>
      </c>
      <c r="C6" s="7"/>
    </row>
    <row r="7" spans="1:3">
      <c r="A7" s="42" t="s">
        <v>145</v>
      </c>
      <c r="B7" s="42" t="s">
        <v>146</v>
      </c>
      <c r="C7" s="8"/>
    </row>
    <row r="8" spans="1:3">
      <c r="A8" s="42" t="s">
        <v>147</v>
      </c>
      <c r="B8" s="42" t="s">
        <v>148</v>
      </c>
      <c r="C8" s="9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695EB7A6889243B6EF54BA8507F830" ma:contentTypeVersion="7" ma:contentTypeDescription="Create a new document." ma:contentTypeScope="" ma:versionID="b3c0230eaaf081fe997e9b43abc1db83">
  <xsd:schema xmlns:xsd="http://www.w3.org/2001/XMLSchema" xmlns:xs="http://www.w3.org/2001/XMLSchema" xmlns:p="http://schemas.microsoft.com/office/2006/metadata/properties" xmlns:ns2="539e812f-9b0f-4b76-b08b-cb67e15df5b6" targetNamespace="http://schemas.microsoft.com/office/2006/metadata/properties" ma:root="true" ma:fieldsID="252d12242f9c86922867d8799a9500e0" ns2:_="">
    <xsd:import namespace="539e812f-9b0f-4b76-b08b-cb67e15df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e812f-9b0f-4b76-b08b-cb67e15df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899939-8623-4EF2-ADD5-97D14610BC3A}"/>
</file>

<file path=customXml/itemProps2.xml><?xml version="1.0" encoding="utf-8"?>
<ds:datastoreItem xmlns:ds="http://schemas.openxmlformats.org/officeDocument/2006/customXml" ds:itemID="{82AF6B5C-5108-4B1C-B2C6-98C3C272FC79}"/>
</file>

<file path=customXml/itemProps3.xml><?xml version="1.0" encoding="utf-8"?>
<ds:datastoreItem xmlns:ds="http://schemas.openxmlformats.org/officeDocument/2006/customXml" ds:itemID="{5B354C6E-46DE-4479-B0E3-03403349C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Isaac Smethurst</cp:lastModifiedBy>
  <cp:revision/>
  <dcterms:created xsi:type="dcterms:W3CDTF">2025-11-20T11:05:35Z</dcterms:created>
  <dcterms:modified xsi:type="dcterms:W3CDTF">2026-01-30T01:02:27Z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0x010100AE695EB7A6889243B6EF54BA8507F830</vt:lpwstr>
  </property>
</Properties>
</file>