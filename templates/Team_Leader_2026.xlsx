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comments/comment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2.xml" ContentType="application/vnd.openxmlformats-officedocument.spreadsheetml.table+xml"/>
  <Override PartName="/xl/worksheets/sheet7.xml" ContentType="application/vnd.openxmlformats-officedocument.spreadsheetml.worksheet+xml"/>
  <Override PartName="/xl/tables/table2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2" activeTab="3" autoFilterDateGrouping="1"/>
  </bookViews>
  <sheets>
    <sheet name="MMP Dashboard" sheetId="1" state="visible" r:id="rId1"/>
    <sheet name="KPI Dashboard South" sheetId="2" state="visible" r:id="rId2"/>
    <sheet name="KPI Dashboard North" sheetId="3" state="visible" r:id="rId3"/>
    <sheet name="KPI Dashboard OT" sheetId="4" state="visible" r:id="rId4"/>
    <sheet name="Ceased services" sheetId="5" state="visible" r:id="rId5"/>
    <sheet name="Ceased reasons" sheetId="6" state="visible" r:id="rId6"/>
    <sheet name="FTE" sheetId="7" state="visible" r:id="rId7"/>
  </sheets>
  <definedNames>
    <definedName name="BillingsThreshold_North">'KPI Dashboard North'!$Q$17:$U$20</definedName>
    <definedName name="BillingsThreshold_OT">'KPI Dashboard OT'!$Q$15:$U$18</definedName>
    <definedName name="BillingsThreshold_South">'KPI Dashboard South'!$Q$15:$U$18</definedName>
    <definedName name="CeasedThreshold_North">'KPI Dashboard North'!$Q$26:$U$28</definedName>
    <definedName name="CeasedThreshold_South">'KPI Dashboard South'!$Q$24:$U$26</definedName>
    <definedName name="MMP_KPI">'MMP Dashboard'!$C$32:$H$36</definedName>
    <definedName name="TeamKPI_North">'KPI Dashboard North'!$Q$7:$W$12</definedName>
    <definedName name="TeamKPI_OT">'KPI Dashboard OT'!$Q$7:$W$10</definedName>
    <definedName name="TeamKPI_South">'KPI Dashboard South'!$Q$7:$W$10</definedName>
    <definedName name="_xlnm.Print_Area" localSheetId="0">'MMP Dashboard'!$B$10</definedName>
  </definedNames>
  <calcPr calcId="191028" fullCalcOnLoad="1"/>
</workbook>
</file>

<file path=xl/styles.xml><?xml version="1.0" encoding="utf-8"?>
<styleSheet xmlns="http://schemas.openxmlformats.org/spreadsheetml/2006/main">
  <numFmts count="2">
    <numFmt numFmtId="164" formatCode="0.0"/>
    <numFmt numFmtId="165" formatCode="[$-409]d\-mmm\-yy;@"/>
  </numFmts>
  <fonts count="25">
    <font>
      <name val="Aptos Narrow"/>
      <family val="2"/>
      <color theme="1"/>
      <sz val="11"/>
      <scheme val="minor"/>
    </font>
    <font>
      <name val="Aptos Narrow"/>
      <family val="2"/>
      <color theme="0"/>
      <sz val="11"/>
      <scheme val="minor"/>
    </font>
    <font>
      <name val="Aptos Narrow"/>
      <family val="2"/>
      <color theme="2"/>
      <sz val="11"/>
      <scheme val="minor"/>
    </font>
    <font>
      <name val="Aptos Narrow"/>
      <family val="2"/>
      <b val="1"/>
      <color theme="0"/>
      <sz val="14"/>
      <scheme val="minor"/>
    </font>
    <font>
      <name val="Aptos Narrow"/>
      <family val="2"/>
      <b val="1"/>
      <color theme="1"/>
      <sz val="14"/>
      <scheme val="minor"/>
    </font>
    <font>
      <name val="Aptos Narrow"/>
      <family val="2"/>
      <color theme="1"/>
      <sz val="9"/>
      <scheme val="minor"/>
    </font>
    <font>
      <name val="Aptos Narrow"/>
      <family val="2"/>
      <color theme="1"/>
      <sz val="8"/>
      <scheme val="minor"/>
    </font>
    <font>
      <name val="Aptos Narrow"/>
      <family val="2"/>
      <b val="1"/>
      <color theme="1"/>
      <sz val="8"/>
      <scheme val="minor"/>
    </font>
    <font>
      <name val="Aptos Narrow"/>
      <family val="2"/>
      <color rgb="FF000000"/>
      <sz val="8"/>
      <scheme val="minor"/>
    </font>
    <font>
      <name val="Aptos Narrow"/>
      <family val="2"/>
      <b val="1"/>
      <color rgb="FF000000"/>
      <sz val="8"/>
    </font>
    <font>
      <name val="Aptos Narrow"/>
      <family val="2"/>
      <color rgb="FF000000"/>
      <sz val="8"/>
    </font>
    <font>
      <name val="Aptos Narrow"/>
      <family val="2"/>
      <color rgb="FF000000"/>
      <sz val="11"/>
    </font>
    <font>
      <name val="Aptos Narrow"/>
      <family val="2"/>
      <color theme="1"/>
      <sz val="20"/>
      <scheme val="minor"/>
    </font>
    <font>
      <name val="Aptos Narrow"/>
      <family val="2"/>
      <b val="1"/>
      <color theme="1"/>
      <sz val="11"/>
      <scheme val="minor"/>
    </font>
    <font>
      <name val="Calibri"/>
      <family val="2"/>
      <color rgb="FF000000"/>
      <sz val="11"/>
    </font>
    <font>
      <name val="Aptos Narrow"/>
      <family val="2"/>
      <color theme="0"/>
      <sz val="20"/>
      <u val="single"/>
      <scheme val="minor"/>
    </font>
    <font>
      <name val="Aptos Narrow"/>
      <family val="2"/>
      <color theme="1"/>
      <sz val="26"/>
      <scheme val="minor"/>
    </font>
    <font>
      <name val="Aptos Narrow"/>
      <b val="1"/>
      <color rgb="FF000000"/>
      <sz val="11"/>
      <scheme val="minor"/>
    </font>
    <font>
      <name val="Calibri"/>
      <charset val="1"/>
      <family val="2"/>
      <color theme="1"/>
      <sz val="11"/>
    </font>
    <font>
      <name val="Aptos Narrow"/>
      <family val="2"/>
      <b val="1"/>
      <color theme="1"/>
      <sz val="10"/>
      <scheme val="minor"/>
    </font>
    <font>
      <name val="Aptos Narrow"/>
      <sz val="11"/>
    </font>
    <font>
      <name val="Aptos Narrow"/>
      <family val="2"/>
      <color theme="2"/>
      <sz val="8"/>
      <scheme val="minor"/>
    </font>
    <font>
      <name val="Aptos Narrow"/>
      <color rgb="FF808080"/>
      <sz val="11"/>
    </font>
    <font/>
    <font>
      <color rgb="FF808080"/>
    </font>
  </fonts>
  <fills count="18">
    <fill>
      <patternFill/>
    </fill>
    <fill>
      <patternFill patternType="gray125"/>
    </fill>
    <fill>
      <patternFill patternType="solid">
        <fgColor theme="1"/>
        <bgColor indexed="64"/>
      </patternFill>
    </fill>
    <fill>
      <patternFill patternType="solid">
        <fgColor theme="0"/>
        <bgColor indexed="64"/>
      </patternFill>
    </fill>
    <fill>
      <patternFill patternType="solid">
        <fgColor rgb="FF0070C0"/>
        <bgColor indexed="64"/>
      </patternFill>
    </fill>
    <fill>
      <patternFill patternType="solid">
        <fgColor theme="1" tint="0.0499893185216834"/>
        <bgColor indexed="64"/>
      </patternFill>
    </fill>
    <fill>
      <patternFill patternType="solid">
        <fgColor rgb="FFE47373"/>
        <bgColor indexed="64"/>
      </patternFill>
    </fill>
    <fill>
      <patternFill patternType="solid">
        <fgColor rgb="FFFFB74D"/>
        <bgColor indexed="64"/>
      </patternFill>
    </fill>
    <fill>
      <patternFill patternType="solid">
        <fgColor rgb="FFFFF176"/>
        <bgColor indexed="64"/>
      </patternFill>
    </fill>
    <fill>
      <patternFill patternType="solid">
        <fgColor rgb="FF81C784"/>
        <bgColor indexed="64"/>
      </patternFill>
    </fill>
    <fill>
      <patternFill patternType="solid">
        <fgColor rgb="FF4FC3F7"/>
        <bgColor indexed="64"/>
      </patternFill>
    </fill>
    <fill>
      <patternFill patternType="solid">
        <fgColor rgb="FFFFFFFF"/>
        <bgColor rgb="FF000000"/>
      </patternFill>
    </fill>
    <fill>
      <patternFill patternType="solid">
        <fgColor rgb="FF4FC3F7"/>
        <bgColor rgb="FF000000"/>
      </patternFill>
    </fill>
    <fill>
      <patternFill patternType="solid">
        <fgColor rgb="FF81C784"/>
        <bgColor rgb="FF000000"/>
      </patternFill>
    </fill>
    <fill>
      <patternFill patternType="solid">
        <fgColor rgb="FFE47373"/>
        <bgColor rgb="FF000000"/>
      </patternFill>
    </fill>
    <fill>
      <patternFill patternType="solid">
        <fgColor theme="0" tint="-0.0499893185216834"/>
        <bgColor indexed="64"/>
      </patternFill>
    </fill>
    <fill>
      <patternFill patternType="solid">
        <fgColor theme="1" tint="0.499984740745262"/>
        <bgColor indexed="64"/>
      </patternFill>
    </fill>
    <fill>
      <patternFill patternType="solid">
        <fgColor rgb="FFC0C0C0"/>
        <bgColor rgb="FFC0C0C0"/>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top/>
      <bottom style="thin">
        <color indexed="64"/>
      </bottom>
      <diagonal/>
    </border>
    <border>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top/>
      <bottom/>
      <diagonal/>
    </border>
    <border>
      <left/>
      <right style="thin">
        <color indexed="64"/>
      </right>
      <top/>
      <bottom/>
      <diagonal/>
    </border>
    <border>
      <left/>
      <right style="thin">
        <color rgb="FF000000"/>
      </right>
      <top style="thin">
        <color indexed="64"/>
      </top>
      <bottom/>
      <diagonal/>
    </border>
    <border>
      <left style="thin">
        <color indexed="64"/>
      </left>
      <right style="thin">
        <color indexed="64"/>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style="thin">
        <color rgb="FF000000"/>
      </top>
      <bottom style="thin">
        <color indexed="64"/>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right/>
      <top/>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rgb="FFFFFFFF"/>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theme="0"/>
      </left>
      <right style="thin">
        <color indexed="64"/>
      </right>
      <top style="thin">
        <color indexed="64"/>
      </top>
      <bottom style="thin">
        <color indexed="64"/>
      </bottom>
      <diagonal/>
    </border>
    <border>
      <left style="thin">
        <color rgb="FFFFFFFF"/>
      </left>
      <right style="thin">
        <color indexed="64"/>
      </right>
      <top style="thin">
        <color rgb="FFFFFFFF"/>
      </top>
      <bottom style="thin">
        <color indexed="64"/>
      </bottom>
      <diagonal/>
    </border>
    <border>
      <left style="thin">
        <color theme="0"/>
      </left>
      <right style="thin">
        <color indexed="64"/>
      </right>
      <top style="thin">
        <color theme="0"/>
      </top>
      <bottom style="thin">
        <color indexed="64"/>
      </bottom>
      <diagonal/>
    </border>
    <border>
      <left style="thin">
        <color theme="0"/>
      </left>
      <right style="thin">
        <color indexed="64"/>
      </right>
      <top style="thin">
        <color theme="0"/>
      </top>
      <bottom style="thin">
        <color theme="0"/>
      </bottom>
      <diagonal/>
    </border>
    <border>
      <left/>
      <right style="thin">
        <color indexed="64"/>
      </right>
      <top style="thin">
        <color rgb="FF000000"/>
      </top>
      <bottom/>
      <diagonal/>
    </border>
  </borders>
  <cellStyleXfs count="1">
    <xf numFmtId="0" fontId="0" fillId="0" borderId="50"/>
  </cellStyleXfs>
  <cellXfs count="263">
    <xf numFmtId="0" fontId="0" fillId="0" borderId="0" pivotButton="0" quotePrefix="0" xfId="0"/>
    <xf numFmtId="0" fontId="0" fillId="3" borderId="0" pivotButton="0" quotePrefix="0" xfId="0"/>
    <xf numFmtId="0" fontId="0" fillId="3" borderId="1" pivotButton="0" quotePrefix="0" xfId="0"/>
    <xf numFmtId="0" fontId="1" fillId="2" borderId="6" pivotButton="0" quotePrefix="0" xfId="0"/>
    <xf numFmtId="0" fontId="0" fillId="3" borderId="8" pivotButton="0" quotePrefix="0" xfId="0"/>
    <xf numFmtId="164" fontId="0" fillId="3" borderId="1" applyAlignment="1" pivotButton="0" quotePrefix="0" xfId="0">
      <alignment horizontal="center"/>
    </xf>
    <xf numFmtId="2" fontId="0" fillId="3" borderId="1" applyAlignment="1" pivotButton="0" quotePrefix="0" xfId="0">
      <alignment horizontal="center"/>
    </xf>
    <xf numFmtId="0" fontId="1" fillId="2" borderId="16" pivotButton="0" quotePrefix="0" xfId="0"/>
    <xf numFmtId="0" fontId="6" fillId="3" borderId="5" applyAlignment="1" pivotButton="0" quotePrefix="0" xfId="0">
      <alignment horizontal="center"/>
    </xf>
    <xf numFmtId="0" fontId="6" fillId="3" borderId="7" applyAlignment="1" pivotButton="0" quotePrefix="0" xfId="0">
      <alignment horizontal="center"/>
    </xf>
    <xf numFmtId="0" fontId="6" fillId="3" borderId="1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6" fillId="3" borderId="16" pivotButton="0" quotePrefix="0" xfId="0"/>
    <xf numFmtId="0" fontId="6" fillId="3" borderId="17" pivotButton="0" quotePrefix="0" xfId="0"/>
    <xf numFmtId="0" fontId="6" fillId="3" borderId="18" pivotButton="0" quotePrefix="0" xfId="0"/>
    <xf numFmtId="0" fontId="6" fillId="5" borderId="30" pivotButton="0" quotePrefix="0" xfId="0"/>
    <xf numFmtId="0" fontId="6" fillId="3" borderId="9" applyAlignment="1" pivotButton="0" quotePrefix="0" xfId="0">
      <alignment horizontal="center"/>
    </xf>
    <xf numFmtId="0" fontId="6" fillId="3" borderId="31" applyAlignment="1" pivotButton="0" quotePrefix="0" xfId="0">
      <alignment horizontal="center"/>
    </xf>
    <xf numFmtId="0" fontId="6" fillId="3" borderId="9" applyAlignment="1" pivotButton="0" quotePrefix="0" xfId="0">
      <alignment horizontal="center" vertical="center"/>
    </xf>
    <xf numFmtId="0" fontId="6" fillId="6" borderId="29" applyAlignment="1" pivotButton="0" quotePrefix="0" xfId="0">
      <alignment horizontal="center" wrapText="1"/>
    </xf>
    <xf numFmtId="0" fontId="6" fillId="6" borderId="1" applyAlignment="1" pivotButton="0" quotePrefix="0" xfId="0">
      <alignment horizontal="center" vertical="center"/>
    </xf>
    <xf numFmtId="0" fontId="6" fillId="7" borderId="29" applyAlignment="1" pivotButton="0" quotePrefix="0" xfId="0">
      <alignment horizontal="center" wrapText="1"/>
    </xf>
    <xf numFmtId="0" fontId="6" fillId="9" borderId="1" applyAlignment="1" pivotButton="0" quotePrefix="0" xfId="0">
      <alignment horizontal="center" vertical="center"/>
    </xf>
    <xf numFmtId="0" fontId="8" fillId="9" borderId="20" applyAlignment="1" pivotButton="0" quotePrefix="0" xfId="0">
      <alignment horizontal="center" vertical="center" wrapText="1"/>
    </xf>
    <xf numFmtId="0" fontId="6" fillId="10" borderId="1" applyAlignment="1" pivotButton="0" quotePrefix="0" xfId="0">
      <alignment horizontal="center" vertical="center"/>
    </xf>
    <xf numFmtId="0" fontId="6" fillId="10" borderId="32" applyAlignment="1" pivotButton="0" quotePrefix="0" xfId="0">
      <alignment horizontal="center" wrapText="1"/>
    </xf>
    <xf numFmtId="0" fontId="6" fillId="8" borderId="29" applyAlignment="1" pivotButton="0" quotePrefix="0" xfId="0">
      <alignment horizontal="center" wrapText="1"/>
    </xf>
    <xf numFmtId="0" fontId="6" fillId="3" borderId="2" pivotButton="0" quotePrefix="0" xfId="0"/>
    <xf numFmtId="0" fontId="6" fillId="3" borderId="3" pivotButton="0" quotePrefix="0" xfId="0"/>
    <xf numFmtId="0" fontId="0" fillId="3" borderId="3" pivotButton="0" quotePrefix="0" xfId="0"/>
    <xf numFmtId="0" fontId="0" fillId="3" borderId="4" pivotButton="0" quotePrefix="0" xfId="0"/>
    <xf numFmtId="0" fontId="6" fillId="3" borderId="33" pivotButton="0" quotePrefix="0" xfId="0"/>
    <xf numFmtId="0" fontId="0" fillId="3" borderId="34" pivotButton="0" quotePrefix="0" xfId="0"/>
    <xf numFmtId="0" fontId="6" fillId="3" borderId="5" pivotButton="0" quotePrefix="0" xfId="0"/>
    <xf numFmtId="0" fontId="6" fillId="3" borderId="6" pivotButton="0" quotePrefix="0" xfId="0"/>
    <xf numFmtId="0" fontId="0" fillId="3" borderId="6" pivotButton="0" quotePrefix="0" xfId="0"/>
    <xf numFmtId="0" fontId="0" fillId="3" borderId="7" pivotButton="0" quotePrefix="0" xfId="0"/>
    <xf numFmtId="164" fontId="0" fillId="3" borderId="8" applyAlignment="1" pivotButton="0" quotePrefix="0" xfId="0">
      <alignment horizontal="center"/>
    </xf>
    <xf numFmtId="0" fontId="11" fillId="11" borderId="1" pivotButton="0" quotePrefix="0" xfId="0"/>
    <xf numFmtId="0" fontId="11" fillId="11" borderId="9" pivotButton="0" quotePrefix="0" xfId="0"/>
    <xf numFmtId="0" fontId="11" fillId="11" borderId="36" pivotButton="0" quotePrefix="0" xfId="0"/>
    <xf numFmtId="0" fontId="6" fillId="10" borderId="10" applyAlignment="1" pivotButton="0" quotePrefix="0" xfId="0">
      <alignment horizontal="center" vertical="center"/>
    </xf>
    <xf numFmtId="0" fontId="6" fillId="3" borderId="19" pivotButton="0" quotePrefix="0" xfId="0"/>
    <xf numFmtId="0" fontId="5" fillId="3" borderId="19" pivotButton="0" quotePrefix="0" xfId="0"/>
    <xf numFmtId="0" fontId="0" fillId="3" borderId="19" pivotButton="0" quotePrefix="0" xfId="0"/>
    <xf numFmtId="0" fontId="0" fillId="3" borderId="14" pivotButton="0" quotePrefix="0" xfId="0"/>
    <xf numFmtId="0" fontId="0" fillId="3" borderId="16" pivotButton="0" quotePrefix="0" xfId="0"/>
    <xf numFmtId="0" fontId="6" fillId="3" borderId="20" pivotButton="0" quotePrefix="0" xfId="0"/>
    <xf numFmtId="0" fontId="5" fillId="3" borderId="20" pivotButton="0" quotePrefix="0" xfId="0"/>
    <xf numFmtId="0" fontId="0" fillId="3" borderId="20" pivotButton="0" quotePrefix="0" xfId="0"/>
    <xf numFmtId="0" fontId="0" fillId="3" borderId="18" pivotButton="0" quotePrefix="0" xfId="0"/>
    <xf numFmtId="0" fontId="0" fillId="0" borderId="0" applyAlignment="1" pivotButton="0" quotePrefix="0" xfId="0">
      <alignment horizontal="center" vertical="center"/>
    </xf>
    <xf numFmtId="0" fontId="11" fillId="0" borderId="4" applyAlignment="1" pivotButton="0" quotePrefix="0" xfId="0">
      <alignment horizontal="center" vertical="center"/>
    </xf>
    <xf numFmtId="0" fontId="11" fillId="0" borderId="34" applyAlignment="1" pivotButton="0" quotePrefix="0" xfId="0">
      <alignment horizontal="center" vertical="center"/>
    </xf>
    <xf numFmtId="49" fontId="0" fillId="0" borderId="0" applyAlignment="1" pivotButton="0" quotePrefix="0" xfId="0">
      <alignment horizontal="center" vertical="center"/>
    </xf>
    <xf numFmtId="49" fontId="11" fillId="0" borderId="13" applyAlignment="1" pivotButton="0" quotePrefix="0" xfId="0">
      <alignment horizontal="center" vertical="center"/>
    </xf>
    <xf numFmtId="49" fontId="11" fillId="0" borderId="19" applyAlignment="1" pivotButton="0" quotePrefix="0" xfId="0">
      <alignment horizontal="center" vertical="center"/>
    </xf>
    <xf numFmtId="0" fontId="11" fillId="0" borderId="40" applyAlignment="1" pivotButton="0" quotePrefix="0" xfId="0">
      <alignment horizontal="center" vertical="center"/>
    </xf>
    <xf numFmtId="0" fontId="11" fillId="15" borderId="16" applyAlignment="1" pivotButton="0" quotePrefix="0" xfId="0">
      <alignment horizontal="center" vertical="center"/>
    </xf>
    <xf numFmtId="0" fontId="11" fillId="0" borderId="41" applyAlignment="1" pivotButton="0" quotePrefix="0" xfId="0">
      <alignment horizontal="center" vertical="center"/>
    </xf>
    <xf numFmtId="10" fontId="11" fillId="15" borderId="16" applyAlignment="1" pivotButton="0" quotePrefix="0" xfId="0">
      <alignment horizontal="center" vertical="center"/>
    </xf>
    <xf numFmtId="0" fontId="11" fillId="0" borderId="42" applyAlignment="1" pivotButton="0" quotePrefix="0" xfId="0">
      <alignment horizontal="center" vertical="center"/>
    </xf>
    <xf numFmtId="0" fontId="13" fillId="0" borderId="0" pivotButton="0" quotePrefix="0" xfId="0"/>
    <xf numFmtId="0" fontId="0" fillId="0" borderId="0" applyAlignment="1" pivotButton="0" quotePrefix="0" xfId="0">
      <alignment wrapText="1"/>
    </xf>
    <xf numFmtId="0" fontId="0" fillId="4" borderId="0" pivotButton="0" quotePrefix="0" xfId="0"/>
    <xf numFmtId="0" fontId="6" fillId="3" borderId="33" applyAlignment="1" pivotButton="0" quotePrefix="0" xfId="0">
      <alignment horizontal="center"/>
    </xf>
    <xf numFmtId="0" fontId="6" fillId="3" borderId="33" applyAlignment="1" pivotButton="0" quotePrefix="0" xfId="0">
      <alignment horizontal="center" wrapText="1"/>
    </xf>
    <xf numFmtId="10" fontId="0" fillId="3" borderId="1" applyAlignment="1" pivotButton="0" quotePrefix="0" xfId="0">
      <alignment horizontal="center"/>
    </xf>
    <xf numFmtId="0" fontId="6" fillId="3" borderId="33" applyAlignment="1" pivotButton="0" quotePrefix="0" xfId="0">
      <alignment horizontal="center" vertical="center"/>
    </xf>
    <xf numFmtId="0" fontId="6" fillId="5" borderId="34" pivotButton="0" quotePrefix="0" xfId="0"/>
    <xf numFmtId="0" fontId="6" fillId="6" borderId="1" applyAlignment="1" pivotButton="0" quotePrefix="0" xfId="0">
      <alignment horizontal="center" wrapText="1"/>
    </xf>
    <xf numFmtId="0" fontId="6" fillId="7" borderId="1" applyAlignment="1" pivotButton="0" quotePrefix="0" xfId="0">
      <alignment horizontal="center" wrapText="1"/>
    </xf>
    <xf numFmtId="0" fontId="6" fillId="8" borderId="1" applyAlignment="1" pivotButton="0" quotePrefix="0" xfId="0">
      <alignment horizontal="center" wrapText="1"/>
    </xf>
    <xf numFmtId="0" fontId="8" fillId="9" borderId="6" applyAlignment="1" pivotButton="0" quotePrefix="0" xfId="0">
      <alignment horizontal="center" vertical="center" wrapText="1"/>
    </xf>
    <xf numFmtId="0" fontId="6" fillId="10" borderId="1" applyAlignment="1" pivotButton="0" quotePrefix="0" xfId="0">
      <alignment horizontal="center" wrapText="1"/>
    </xf>
    <xf numFmtId="0" fontId="6" fillId="6" borderId="9" applyAlignment="1" pivotButton="0" quotePrefix="0" xfId="0">
      <alignment horizontal="center" vertical="center"/>
    </xf>
    <xf numFmtId="0" fontId="6" fillId="9" borderId="9" applyAlignment="1" pivotButton="0" quotePrefix="0" xfId="0">
      <alignment horizontal="center" vertical="center"/>
    </xf>
    <xf numFmtId="0" fontId="6" fillId="10" borderId="9" applyAlignment="1" pivotButton="0" quotePrefix="0" xfId="0">
      <alignment horizontal="center" vertical="center"/>
    </xf>
    <xf numFmtId="0" fontId="6" fillId="5" borderId="23" pivotButton="0" quotePrefix="0" xfId="0"/>
    <xf numFmtId="0" fontId="6" fillId="5" borderId="42" pivotButton="0" quotePrefix="0" xfId="0"/>
    <xf numFmtId="17" fontId="0" fillId="0" borderId="0" pivotButton="0" quotePrefix="0" xfId="0"/>
    <xf numFmtId="0" fontId="6" fillId="3" borderId="36" applyAlignment="1" pivotButton="0" quotePrefix="0" xfId="0">
      <alignment horizontal="center" vertical="center"/>
    </xf>
    <xf numFmtId="0" fontId="19" fillId="3" borderId="30" applyAlignment="1" pivotButton="0" quotePrefix="0" xfId="0">
      <alignment horizontal="center" vertical="center"/>
    </xf>
    <xf numFmtId="2" fontId="20" fillId="0" borderId="1" applyAlignment="1" pivotButton="0" quotePrefix="0" xfId="0">
      <alignment horizontal="center"/>
    </xf>
    <xf numFmtId="164" fontId="20" fillId="0" borderId="1" applyAlignment="1" pivotButton="0" quotePrefix="0" xfId="0">
      <alignment horizontal="center"/>
    </xf>
    <xf numFmtId="0" fontId="12" fillId="3" borderId="50" applyAlignment="1" pivotButton="0" quotePrefix="0" xfId="0">
      <alignment vertical="center" textRotation="90"/>
    </xf>
    <xf numFmtId="0" fontId="1" fillId="2" borderId="50" pivotButton="0" quotePrefix="0" xfId="0"/>
    <xf numFmtId="0" fontId="7" fillId="3" borderId="50" pivotButton="0" quotePrefix="0" xfId="0"/>
    <xf numFmtId="0" fontId="6" fillId="5" borderId="50" pivotButton="0" quotePrefix="0" xfId="0"/>
    <xf numFmtId="0" fontId="6" fillId="3" borderId="50" pivotButton="0" quotePrefix="0" xfId="0"/>
    <xf numFmtId="0" fontId="0" fillId="3" borderId="50" applyAlignment="1" pivotButton="0" quotePrefix="0" xfId="0">
      <alignment horizontal="center"/>
    </xf>
    <xf numFmtId="0" fontId="2" fillId="3" borderId="50" pivotButton="0" quotePrefix="0" xfId="0"/>
    <xf numFmtId="0" fontId="0" fillId="3" borderId="50" applyAlignment="1" pivotButton="0" quotePrefix="0" xfId="0">
      <alignment horizontal="center" vertical="center"/>
    </xf>
    <xf numFmtId="0" fontId="8" fillId="3" borderId="50" applyAlignment="1" pivotButton="0" quotePrefix="0" xfId="0">
      <alignment vertical="top" wrapText="1"/>
    </xf>
    <xf numFmtId="0" fontId="5" fillId="3" borderId="50" pivotButton="0" quotePrefix="0" xfId="0"/>
    <xf numFmtId="164" fontId="0" fillId="3" borderId="50" pivotButton="0" quotePrefix="0" xfId="0"/>
    <xf numFmtId="0" fontId="0" fillId="3" borderId="50" applyAlignment="1" pivotButton="0" quotePrefix="0" xfId="0">
      <alignment wrapText="1"/>
    </xf>
    <xf numFmtId="0" fontId="13" fillId="0" borderId="50" applyAlignment="1" pivotButton="0" quotePrefix="0" xfId="0">
      <alignment vertical="center"/>
    </xf>
    <xf numFmtId="0" fontId="0" fillId="0" borderId="50" applyAlignment="1" pivotButton="0" quotePrefix="0" xfId="0">
      <alignment vertical="center"/>
    </xf>
    <xf numFmtId="0" fontId="0" fillId="0" borderId="50" applyAlignment="1" pivotButton="0" quotePrefix="0" xfId="0">
      <alignment horizontal="center" vertical="center"/>
    </xf>
    <xf numFmtId="0" fontId="11" fillId="0" borderId="50" applyAlignment="1" pivotButton="0" quotePrefix="0" xfId="0">
      <alignment horizontal="center" vertical="center"/>
    </xf>
    <xf numFmtId="0" fontId="11" fillId="15" borderId="50" applyAlignment="1" pivotButton="0" quotePrefix="0" xfId="0">
      <alignment horizontal="center" vertical="center"/>
    </xf>
    <xf numFmtId="10" fontId="11" fillId="15" borderId="50" applyAlignment="1" pivotButton="0" quotePrefix="0" xfId="0">
      <alignment horizontal="center" vertical="center"/>
    </xf>
    <xf numFmtId="0" fontId="11" fillId="16" borderId="50" applyAlignment="1" pivotButton="0" quotePrefix="0" xfId="0">
      <alignment horizontal="center" vertical="center"/>
    </xf>
    <xf numFmtId="10" fontId="11" fillId="16" borderId="50" applyAlignment="1" pivotButton="0" quotePrefix="0" xfId="0">
      <alignment horizontal="center" vertical="center"/>
    </xf>
    <xf numFmtId="0" fontId="13" fillId="0" borderId="50" pivotButton="0" quotePrefix="0" xfId="0"/>
    <xf numFmtId="17" fontId="13" fillId="0" borderId="50" pivotButton="0" quotePrefix="0" xfId="0"/>
    <xf numFmtId="0" fontId="13" fillId="0" borderId="50" applyAlignment="1" pivotButton="0" quotePrefix="0" xfId="0">
      <alignment wrapText="1"/>
    </xf>
    <xf numFmtId="49" fontId="0" fillId="0" borderId="50" pivotButton="0" quotePrefix="0" xfId="0"/>
    <xf numFmtId="17" fontId="0" fillId="0" borderId="50" pivotButton="0" quotePrefix="0" xfId="0"/>
    <xf numFmtId="49" fontId="0" fillId="0" borderId="50" applyAlignment="1" pivotButton="0" quotePrefix="0" xfId="0">
      <alignment wrapText="1"/>
    </xf>
    <xf numFmtId="0" fontId="0" fillId="0" borderId="50" pivotButton="0" quotePrefix="0" xfId="0"/>
    <xf numFmtId="0" fontId="14" fillId="0" borderId="50" applyAlignment="1" pivotButton="0" quotePrefix="0" xfId="0">
      <alignment wrapText="1"/>
    </xf>
    <xf numFmtId="0" fontId="0" fillId="0" borderId="50" applyAlignment="1" pivotButton="0" quotePrefix="0" xfId="0">
      <alignment wrapText="1"/>
    </xf>
    <xf numFmtId="0" fontId="17" fillId="0" borderId="50" applyAlignment="1" pivotButton="0" quotePrefix="0" xfId="0">
      <alignment wrapText="1"/>
    </xf>
    <xf numFmtId="0" fontId="18" fillId="0" borderId="50" pivotButton="0" quotePrefix="0" xfId="0"/>
    <xf numFmtId="0" fontId="21" fillId="3" borderId="50" pivotButton="0" quotePrefix="0" xfId="0"/>
    <xf numFmtId="2" fontId="20" fillId="3" borderId="1" applyAlignment="1" pivotButton="0" quotePrefix="0" xfId="0">
      <alignment horizontal="center"/>
    </xf>
    <xf numFmtId="0" fontId="20" fillId="0" borderId="1" applyProtection="1" pivotButton="0" quotePrefix="0" xfId="0">
      <protection locked="0" hidden="0"/>
    </xf>
    <xf numFmtId="0" fontId="20" fillId="0" borderId="9" applyProtection="1" pivotButton="0" quotePrefix="0" xfId="0">
      <protection locked="0" hidden="0"/>
    </xf>
    <xf numFmtId="0" fontId="20" fillId="0" borderId="1" pivotButton="0" quotePrefix="0" xfId="0"/>
    <xf numFmtId="0" fontId="20" fillId="0" borderId="8" pivotButton="0" quotePrefix="0" xfId="0"/>
    <xf numFmtId="0" fontId="12" fillId="3" borderId="50" applyAlignment="1" pivotButton="0" quotePrefix="0" xfId="0">
      <alignment horizontal="center" vertical="center" textRotation="90"/>
    </xf>
    <xf numFmtId="0" fontId="6" fillId="3" borderId="1" applyAlignment="1" pivotButton="0" quotePrefix="0" xfId="0">
      <alignment horizontal="center"/>
    </xf>
    <xf numFmtId="164" fontId="20" fillId="3" borderId="1" applyAlignment="1" pivotButton="0" quotePrefix="0" xfId="0">
      <alignment horizontal="center"/>
    </xf>
    <xf numFmtId="0" fontId="0" fillId="4" borderId="50" pivotButton="0" quotePrefix="0" xfId="0"/>
    <xf numFmtId="0" fontId="0" fillId="3" borderId="50" pivotButton="0" quotePrefix="0" xfId="0"/>
    <xf numFmtId="0" fontId="20" fillId="0" borderId="9" pivotButton="0" quotePrefix="0" xfId="0"/>
    <xf numFmtId="0" fontId="20" fillId="0" borderId="36" pivotButton="0" quotePrefix="0" xfId="0"/>
    <xf numFmtId="2" fontId="0" fillId="3" borderId="1" applyAlignment="1" pivotButton="0" quotePrefix="0" xfId="0">
      <alignment horizontal="center" vertical="center"/>
    </xf>
    <xf numFmtId="0" fontId="1" fillId="2" borderId="50" applyAlignment="1" pivotButton="0" quotePrefix="0" xfId="0">
      <alignment horizontal="center"/>
    </xf>
    <xf numFmtId="0" fontId="1" fillId="2" borderId="50" applyAlignment="1" pivotButton="0" quotePrefix="0" xfId="0">
      <alignment horizontal="center" vertical="center"/>
    </xf>
    <xf numFmtId="0" fontId="1" fillId="2" borderId="16" applyAlignment="1" pivotButton="0" quotePrefix="0" xfId="0">
      <alignment horizontal="center" vertical="center"/>
    </xf>
    <xf numFmtId="2" fontId="0" fillId="3" borderId="1" applyAlignment="1" pivotButton="0" quotePrefix="0" xfId="0">
      <alignment horizontal="center" vertical="center" wrapText="1"/>
    </xf>
    <xf numFmtId="10" fontId="0" fillId="3" borderId="1" applyAlignment="1" pivotButton="0" quotePrefix="0" xfId="0">
      <alignment horizontal="center" vertical="center"/>
    </xf>
    <xf numFmtId="164" fontId="0" fillId="3" borderId="1" applyAlignment="1" pivotButton="0" quotePrefix="0" xfId="0">
      <alignment horizontal="center" vertical="center"/>
    </xf>
    <xf numFmtId="164" fontId="0" fillId="3" borderId="8" applyAlignment="1" pivotButton="0" quotePrefix="0" xfId="0">
      <alignment horizontal="center" vertical="center"/>
    </xf>
    <xf numFmtId="0" fontId="6" fillId="3" borderId="50" applyAlignment="1" pivotButton="0" quotePrefix="0" xfId="0">
      <alignment horizontal="center" vertical="center"/>
    </xf>
    <xf numFmtId="2" fontId="20" fillId="0" borderId="1" applyAlignment="1" pivotButton="0" quotePrefix="0" xfId="0">
      <alignment horizontal="center" vertical="center"/>
    </xf>
    <xf numFmtId="2" fontId="20" fillId="3" borderId="1" applyAlignment="1" pivotButton="0" quotePrefix="0" xfId="0">
      <alignment horizontal="center" vertical="center"/>
    </xf>
    <xf numFmtId="164" fontId="0" fillId="3" borderId="50" applyAlignment="1" pivotButton="0" quotePrefix="0" xfId="0">
      <alignment horizontal="center" vertical="center"/>
    </xf>
    <xf numFmtId="10" fontId="20" fillId="0" borderId="1" applyAlignment="1" pivotButton="0" quotePrefix="0" xfId="0">
      <alignment horizontal="center" vertical="center"/>
    </xf>
    <xf numFmtId="10" fontId="20" fillId="0" borderId="9" applyAlignment="1" pivotButton="0" quotePrefix="0" xfId="0">
      <alignment horizontal="center" vertical="center"/>
    </xf>
    <xf numFmtId="10" fontId="20" fillId="3" borderId="1" applyAlignment="1" pivotButton="0" quotePrefix="0" xfId="0">
      <alignment horizontal="center" vertical="center"/>
    </xf>
    <xf numFmtId="0" fontId="20" fillId="0" borderId="1" applyAlignment="1" pivotButton="0" quotePrefix="0" xfId="0">
      <alignment horizontal="center" vertical="center"/>
    </xf>
    <xf numFmtId="164" fontId="20" fillId="0" borderId="1" applyAlignment="1" pivotButton="0" quotePrefix="0" xfId="0">
      <alignment horizontal="center" vertical="center"/>
    </xf>
    <xf numFmtId="0" fontId="20" fillId="0" borderId="9" applyAlignment="1" pivotButton="0" quotePrefix="0" xfId="0">
      <alignment horizontal="center" vertical="center"/>
    </xf>
    <xf numFmtId="164" fontId="20" fillId="3" borderId="1" applyAlignment="1" pivotButton="0" quotePrefix="0" xfId="0">
      <alignment horizontal="center" vertical="center"/>
    </xf>
    <xf numFmtId="0" fontId="20" fillId="0" borderId="36" applyAlignment="1" pivotButton="0" quotePrefix="0" xfId="0">
      <alignment horizontal="center" vertical="center"/>
    </xf>
    <xf numFmtId="10" fontId="20" fillId="0" borderId="8" applyAlignment="1" pivotButton="0" quotePrefix="0" xfId="0">
      <alignment horizontal="center" vertical="center"/>
    </xf>
    <xf numFmtId="0" fontId="20" fillId="0" borderId="8" applyAlignment="1" pivotButton="0" quotePrefix="0" xfId="0">
      <alignment horizontal="center" vertical="center"/>
    </xf>
    <xf numFmtId="0" fontId="22" fillId="17" borderId="1" pivotButton="0" quotePrefix="0" xfId="0"/>
    <xf numFmtId="0" fontId="22" fillId="17" borderId="1" applyAlignment="1" pivotButton="0" quotePrefix="0" xfId="0">
      <alignment horizontal="center" vertical="center"/>
    </xf>
    <xf numFmtId="0" fontId="11" fillId="11" borderId="8" pivotButton="0" quotePrefix="0" xfId="0"/>
    <xf numFmtId="0" fontId="14" fillId="3" borderId="1" pivotButton="0" quotePrefix="0" xfId="0"/>
    <xf numFmtId="0" fontId="14" fillId="11" borderId="52" pivotButton="0" quotePrefix="0" xfId="0"/>
    <xf numFmtId="0" fontId="14" fillId="3" borderId="53" pivotButton="0" quotePrefix="0" xfId="0"/>
    <xf numFmtId="0" fontId="14" fillId="3" borderId="54" pivotButton="0" quotePrefix="0" xfId="0"/>
    <xf numFmtId="0" fontId="14" fillId="3" borderId="55" pivotButton="0" quotePrefix="0" xfId="0"/>
    <xf numFmtId="0" fontId="14" fillId="3" borderId="56" applyProtection="1" pivotButton="0" quotePrefix="0" xfId="0">
      <protection locked="0" hidden="0"/>
    </xf>
    <xf numFmtId="0" fontId="14" fillId="3" borderId="57" pivotButton="0" quotePrefix="0" xfId="0"/>
    <xf numFmtId="0" fontId="14" fillId="11" borderId="58" pivotButton="0" quotePrefix="0" xfId="0"/>
    <xf numFmtId="0" fontId="14" fillId="3" borderId="59" pivotButton="0" quotePrefix="0" xfId="0"/>
    <xf numFmtId="0" fontId="14" fillId="3" borderId="60" pivotButton="0" quotePrefix="0" xfId="0"/>
    <xf numFmtId="0" fontId="14" fillId="3" borderId="30" pivotButton="0" quotePrefix="0" xfId="0"/>
    <xf numFmtId="0" fontId="14" fillId="3" borderId="51" pivotButton="0" quotePrefix="0" xfId="0"/>
    <xf numFmtId="0" fontId="22" fillId="17" borderId="8" pivotButton="0" quotePrefix="0" xfId="0"/>
    <xf numFmtId="0" fontId="6" fillId="3" borderId="1" applyAlignment="1" pivotButton="0" quotePrefix="0" xfId="0">
      <alignment horizontal="center" vertical="center"/>
    </xf>
    <xf numFmtId="0" fontId="15" fillId="4" borderId="50" applyAlignment="1" pivotButton="0" quotePrefix="0" xfId="0">
      <alignment horizontal="center" vertical="center" textRotation="90"/>
    </xf>
    <xf numFmtId="0" fontId="12" fillId="3" borderId="50" applyAlignment="1" pivotButton="0" quotePrefix="0" xfId="0">
      <alignment horizontal="center" vertical="center" textRotation="90"/>
    </xf>
    <xf numFmtId="0" fontId="0" fillId="4" borderId="50" applyAlignment="1" pivotButton="0" quotePrefix="0" xfId="0">
      <alignment horizontal="center"/>
    </xf>
    <xf numFmtId="0" fontId="16" fillId="3" borderId="50" applyAlignment="1" pivotButton="0" quotePrefix="0" xfId="0">
      <alignment horizontal="center" vertical="center"/>
    </xf>
    <xf numFmtId="0" fontId="19" fillId="3" borderId="1" applyAlignment="1" pivotButton="0" quotePrefix="0" xfId="0">
      <alignment horizontal="center"/>
    </xf>
    <xf numFmtId="0" fontId="10" fillId="11" borderId="46" applyAlignment="1" pivotButton="0" quotePrefix="0" xfId="0">
      <alignment horizontal="center" vertical="center" wrapText="1"/>
    </xf>
    <xf numFmtId="0" fontId="6" fillId="3" borderId="1" applyAlignment="1" pivotButton="0" quotePrefix="0" xfId="0">
      <alignment horizontal="center"/>
    </xf>
    <xf numFmtId="0" fontId="7" fillId="3" borderId="1" applyAlignment="1" pivotButton="0" quotePrefix="0" xfId="0">
      <alignment horizontal="center"/>
    </xf>
    <xf numFmtId="0" fontId="10" fillId="11" borderId="22" applyAlignment="1" pivotButton="0" quotePrefix="0" xfId="0">
      <alignment horizontal="center" vertical="center"/>
    </xf>
    <xf numFmtId="0" fontId="6" fillId="3" borderId="44" applyAlignment="1" pivotButton="0" quotePrefix="0" xfId="0">
      <alignment horizontal="center" vertical="center"/>
    </xf>
    <xf numFmtId="0" fontId="9" fillId="11" borderId="21" applyAlignment="1" pivotButton="0" quotePrefix="0" xfId="0">
      <alignment horizontal="center" vertical="center"/>
    </xf>
    <xf numFmtId="0" fontId="6" fillId="10" borderId="26" applyAlignment="1" pivotButton="0" quotePrefix="0" xfId="0">
      <alignment horizontal="center"/>
    </xf>
    <xf numFmtId="0" fontId="6" fillId="7" borderId="15" applyAlignment="1" pivotButton="0" quotePrefix="0" xfId="0">
      <alignment horizontal="center"/>
    </xf>
    <xf numFmtId="0" fontId="6" fillId="3" borderId="8" applyAlignment="1" pivotButton="0" quotePrefix="0" xfId="0">
      <alignment horizontal="center"/>
    </xf>
    <xf numFmtId="0" fontId="6" fillId="6" borderId="6" applyAlignment="1" pivotButton="0" quotePrefix="0" xfId="0">
      <alignment horizontal="center"/>
    </xf>
    <xf numFmtId="0" fontId="6" fillId="8" borderId="15" applyAlignment="1" pivotButton="0" quotePrefix="0" xfId="0">
      <alignment horizontal="center"/>
    </xf>
    <xf numFmtId="0" fontId="10" fillId="12" borderId="35" applyAlignment="1" pivotButton="0" quotePrefix="0" xfId="0">
      <alignment horizontal="center" vertical="center"/>
    </xf>
    <xf numFmtId="0" fontId="6" fillId="3" borderId="45" applyAlignment="1" pivotButton="0" quotePrefix="0" xfId="0">
      <alignment horizontal="center" vertical="center"/>
    </xf>
    <xf numFmtId="0" fontId="7" fillId="3" borderId="8" applyAlignment="1" pivotButton="0" quotePrefix="0" xfId="0">
      <alignment horizontal="center"/>
    </xf>
    <xf numFmtId="0" fontId="10" fillId="11" borderId="23" applyAlignment="1" pivotButton="0" quotePrefix="0" xfId="0">
      <alignment horizontal="center" vertical="center"/>
    </xf>
    <xf numFmtId="0" fontId="6" fillId="6" borderId="27" applyAlignment="1" pivotButton="0" quotePrefix="0" xfId="0">
      <alignment horizontal="center"/>
    </xf>
    <xf numFmtId="0" fontId="7" fillId="3" borderId="30" applyAlignment="1" pivotButton="0" quotePrefix="0" xfId="0">
      <alignment horizontal="center" vertical="center"/>
    </xf>
    <xf numFmtId="0" fontId="6" fillId="9" borderId="15" applyAlignment="1" pivotButton="0" quotePrefix="0" xfId="0">
      <alignment horizontal="center"/>
    </xf>
    <xf numFmtId="0" fontId="10" fillId="14" borderId="18" applyAlignment="1" pivotButton="0" quotePrefix="0" xfId="0">
      <alignment horizontal="center" vertical="center"/>
    </xf>
    <xf numFmtId="0" fontId="3" fillId="4" borderId="30" applyAlignment="1" pivotButton="0" quotePrefix="0" xfId="0">
      <alignment horizontal="center" vertical="center"/>
    </xf>
    <xf numFmtId="0" fontId="10" fillId="13" borderId="16" applyAlignment="1" pivotButton="0" quotePrefix="0" xfId="0">
      <alignment horizontal="center" vertical="center"/>
    </xf>
    <xf numFmtId="0" fontId="6" fillId="3" borderId="30" applyAlignment="1" pivotButton="0" quotePrefix="0" xfId="0">
      <alignment horizontal="center" vertical="top"/>
    </xf>
    <xf numFmtId="0" fontId="4" fillId="3" borderId="25" applyAlignment="1" pivotButton="0" quotePrefix="0" xfId="0">
      <alignment horizontal="center" vertical="center"/>
    </xf>
    <xf numFmtId="0" fontId="6" fillId="3" borderId="8" applyAlignment="1" pivotButton="0" quotePrefix="0" xfId="0">
      <alignment horizontal="center" vertical="top"/>
    </xf>
    <xf numFmtId="0" fontId="7" fillId="3" borderId="21" applyAlignment="1" pivotButton="0" quotePrefix="0" xfId="0">
      <alignment horizontal="center"/>
    </xf>
    <xf numFmtId="165" fontId="6" fillId="3" borderId="55" applyAlignment="1" pivotButton="0" quotePrefix="0" xfId="0">
      <alignment horizontal="center" vertical="center"/>
    </xf>
    <xf numFmtId="165" fontId="6" fillId="3" borderId="30" applyAlignment="1" pivotButton="0" quotePrefix="0" xfId="0">
      <alignment horizontal="center" vertical="center"/>
    </xf>
    <xf numFmtId="0" fontId="9" fillId="11" borderId="51" applyAlignment="1" pivotButton="0" quotePrefix="0" xfId="0">
      <alignment horizontal="center" vertical="center"/>
    </xf>
    <xf numFmtId="165" fontId="6" fillId="3" borderId="56" applyAlignment="1" pivotButton="0" quotePrefix="0" xfId="0">
      <alignment horizontal="center" vertical="center"/>
    </xf>
    <xf numFmtId="0" fontId="10" fillId="11" borderId="47" applyAlignment="1" pivotButton="0" quotePrefix="0" xfId="0">
      <alignment horizontal="center" vertical="center" wrapText="1"/>
    </xf>
    <xf numFmtId="0" fontId="6" fillId="3" borderId="30" applyAlignment="1" pivotButton="0" quotePrefix="0" xfId="0">
      <alignment horizontal="center"/>
    </xf>
    <xf numFmtId="0" fontId="6" fillId="3" borderId="22" applyAlignment="1" pivotButton="0" quotePrefix="0" xfId="0">
      <alignment horizontal="center"/>
    </xf>
    <xf numFmtId="0" fontId="6" fillId="10" borderId="13" applyAlignment="1" pivotButton="0" quotePrefix="0" xfId="0">
      <alignment horizontal="center"/>
    </xf>
    <xf numFmtId="0" fontId="6" fillId="8" borderId="22" applyAlignment="1" pivotButton="0" quotePrefix="0" xfId="0">
      <alignment horizontal="center"/>
    </xf>
    <xf numFmtId="0" fontId="6" fillId="3" borderId="21" applyAlignment="1" pivotButton="0" quotePrefix="0" xfId="0">
      <alignment horizontal="center"/>
    </xf>
    <xf numFmtId="0" fontId="6" fillId="7" borderId="22" applyAlignment="1" pivotButton="0" quotePrefix="0" xfId="0">
      <alignment horizontal="center"/>
    </xf>
    <xf numFmtId="0" fontId="6" fillId="3" borderId="23" applyAlignment="1" pivotButton="0" quotePrefix="0" xfId="0">
      <alignment horizontal="center"/>
    </xf>
    <xf numFmtId="0" fontId="6" fillId="10" borderId="47" applyAlignment="1" pivotButton="0" quotePrefix="0" xfId="0">
      <alignment horizontal="center"/>
    </xf>
    <xf numFmtId="0" fontId="6" fillId="9" borderId="22" applyAlignment="1" pivotButton="0" quotePrefix="0" xfId="0">
      <alignment horizontal="center"/>
    </xf>
    <xf numFmtId="49" fontId="11" fillId="0" borderId="37" applyAlignment="1" pivotButton="0" quotePrefix="0" xfId="0">
      <alignment horizontal="center" vertical="center"/>
    </xf>
    <xf numFmtId="49" fontId="11" fillId="0" borderId="49" applyAlignment="1" pivotButton="0" quotePrefix="0" xfId="0">
      <alignment horizontal="center" vertical="center"/>
    </xf>
    <xf numFmtId="49" fontId="11" fillId="0" borderId="30" applyAlignment="1" pivotButton="0" quotePrefix="0" xfId="0">
      <alignment horizontal="center" vertical="center"/>
    </xf>
    <xf numFmtId="49" fontId="11" fillId="0" borderId="38" applyAlignment="1" pivotButton="0" quotePrefix="0" xfId="0">
      <alignment horizontal="center" vertical="center"/>
    </xf>
    <xf numFmtId="49" fontId="11" fillId="0" borderId="48" applyAlignment="1" pivotButton="0" quotePrefix="0" xfId="0">
      <alignment horizontal="center" vertical="center"/>
    </xf>
    <xf numFmtId="0" fontId="0" fillId="4" borderId="50" pivotButton="0" quotePrefix="0" xfId="0"/>
    <xf numFmtId="0" fontId="0" fillId="3" borderId="5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14" pivotButton="0" quotePrefix="0" xfId="0"/>
    <xf numFmtId="0" fontId="0" fillId="0" borderId="22" pivotButton="0" quotePrefix="0" xfId="0"/>
    <xf numFmtId="0" fontId="0" fillId="0" borderId="16" pivotButton="0" quotePrefix="0" xfId="0"/>
    <xf numFmtId="0" fontId="0" fillId="0" borderId="23" pivotButton="0" quotePrefix="0" xfId="0"/>
    <xf numFmtId="0" fontId="0" fillId="0" borderId="20" pivotButton="0" quotePrefix="0" xfId="0"/>
    <xf numFmtId="0" fontId="0" fillId="0" borderId="18" pivotButton="0" quotePrefix="0" xfId="0"/>
    <xf numFmtId="0" fontId="0" fillId="0" borderId="19" pivotButton="0" quotePrefix="0" xfId="0"/>
    <xf numFmtId="0" fontId="0" fillId="0" borderId="4" pivotButton="0" quotePrefix="0" xfId="0"/>
    <xf numFmtId="0" fontId="0" fillId="0" borderId="27" pivotButton="0" quotePrefix="0" xfId="0"/>
    <xf numFmtId="0" fontId="0" fillId="0" borderId="7" pivotButton="0" quotePrefix="0" xfId="0"/>
    <xf numFmtId="0" fontId="0" fillId="0" borderId="17" pivotButton="0" quotePrefix="0" xfId="0"/>
    <xf numFmtId="0" fontId="0" fillId="0" borderId="28" pivotButton="0" quotePrefix="0" xfId="0"/>
    <xf numFmtId="0" fontId="0" fillId="0" borderId="3" pivotButton="0" quotePrefix="0" xfId="0"/>
    <xf numFmtId="0" fontId="0" fillId="0" borderId="35" pivotButton="0" quotePrefix="0" xfId="0"/>
    <xf numFmtId="0" fontId="0" fillId="0" borderId="24" pivotButton="0" quotePrefix="0" xfId="0"/>
    <xf numFmtId="0" fontId="0" fillId="0" borderId="25" pivotButton="0" quotePrefix="0" xfId="0"/>
    <xf numFmtId="0" fontId="0" fillId="0" borderId="6" pivotButton="0" quotePrefix="0" xfId="0"/>
    <xf numFmtId="0" fontId="0" fillId="0" borderId="15" pivotButton="0" quotePrefix="0" xfId="0"/>
    <xf numFmtId="0" fontId="0" fillId="0" borderId="34" pivotButton="0" quotePrefix="0" xfId="0"/>
    <xf numFmtId="0" fontId="0" fillId="0" borderId="38" pivotButton="0" quotePrefix="0" xfId="0"/>
    <xf numFmtId="0" fontId="0" fillId="0" borderId="39" pivotButton="0" quotePrefix="0" xfId="0"/>
    <xf numFmtId="0" fontId="0" fillId="0" borderId="43" pivotButton="0" quotePrefix="0" xfId="0"/>
    <xf numFmtId="0" fontId="23" fillId="0" borderId="1" applyProtection="1" pivotButton="0" quotePrefix="0" xfId="0">
      <protection locked="0" hidden="0"/>
    </xf>
    <xf numFmtId="0" fontId="23" fillId="0" borderId="1" applyAlignment="1" pivotButton="0" quotePrefix="0" xfId="0">
      <alignment horizontal="center" vertical="center"/>
    </xf>
    <xf numFmtId="0" fontId="23" fillId="0" borderId="9" applyProtection="1" pivotButton="0" quotePrefix="0" xfId="0">
      <protection locked="0" hidden="0"/>
    </xf>
    <xf numFmtId="0" fontId="23" fillId="0" borderId="8" applyAlignment="1" pivotButton="0" quotePrefix="0" xfId="0">
      <alignment horizontal="center" vertical="center"/>
    </xf>
    <xf numFmtId="0" fontId="23" fillId="0" borderId="1" pivotButton="0" quotePrefix="0" xfId="0"/>
    <xf numFmtId="10" fontId="23" fillId="0" borderId="1" applyAlignment="1" pivotButton="0" quotePrefix="0" xfId="0">
      <alignment horizontal="center" vertical="center"/>
    </xf>
    <xf numFmtId="0" fontId="23" fillId="0" borderId="9" pivotButton="0" quotePrefix="0" xfId="0"/>
    <xf numFmtId="10" fontId="23" fillId="0" borderId="9" applyAlignment="1" pivotButton="0" quotePrefix="0" xfId="0">
      <alignment horizontal="center" vertical="center"/>
    </xf>
    <xf numFmtId="0" fontId="23" fillId="0" borderId="9" applyAlignment="1" pivotButton="0" quotePrefix="0" xfId="0">
      <alignment horizontal="center" vertical="center"/>
    </xf>
    <xf numFmtId="0" fontId="23" fillId="0" borderId="36" pivotButton="0" quotePrefix="0" xfId="0"/>
    <xf numFmtId="0" fontId="23" fillId="0" borderId="36" applyAlignment="1" pivotButton="0" quotePrefix="0" xfId="0">
      <alignment horizontal="center" vertical="center"/>
    </xf>
    <xf numFmtId="2" fontId="23" fillId="0" borderId="1" applyAlignment="1" pivotButton="0" quotePrefix="0" xfId="0">
      <alignment horizontal="center" vertical="center"/>
    </xf>
    <xf numFmtId="0" fontId="23" fillId="0" borderId="8" pivotButton="0" quotePrefix="0" xfId="0"/>
    <xf numFmtId="10" fontId="23" fillId="0" borderId="8" applyAlignment="1" pivotButton="0" quotePrefix="0" xfId="0">
      <alignment horizontal="center" vertical="center"/>
    </xf>
    <xf numFmtId="0" fontId="24" fillId="17" borderId="1" pivotButton="0" quotePrefix="0" xfId="0"/>
    <xf numFmtId="0" fontId="24" fillId="17" borderId="1" applyAlignment="1" pivotButton="0" quotePrefix="0" xfId="0">
      <alignment horizontal="center" vertical="center"/>
    </xf>
    <xf numFmtId="0" fontId="24" fillId="17" borderId="8" pivotButton="0" quotePrefix="0" xfId="0"/>
  </cellXfs>
  <cellStyles count="1">
    <cellStyle name="Normal" xfId="0" builtinId="0"/>
  </cellStyles>
  <dxfs count="1382">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alignment horizontal="general" vertical="bottom"/>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border>
        <left style="thin">
          <color indexed="64"/>
        </left>
        <right style="thin">
          <color indexed="64"/>
        </right>
        <top style="thin">
          <color indexed="64"/>
        </top>
        <bottom style="thin">
          <color indexed="64"/>
        </bottom>
        <vertical/>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border>
        <left style="thin">
          <color indexed="64"/>
        </left>
        <right style="thin">
          <color indexed="64"/>
        </right>
        <top style="thin">
          <color indexed="64"/>
        </top>
        <bottom style="thin">
          <color indexed="64"/>
        </bottom>
        <vertical/>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border>
        <left style="thin">
          <color indexed="64"/>
        </left>
        <right style="thin">
          <color indexed="64"/>
        </right>
        <top style="thin">
          <color indexed="64"/>
        </top>
        <bottom style="thin">
          <color indexed="64"/>
        </bottom>
        <vertical/>
        <horizontal/>
      </border>
    </dxf>
    <dxf>
      <font>
        <name val="Aptos Narrow"/>
        <family val="2"/>
        <strike val="0"/>
        <outline val="0"/>
        <shadow val="0"/>
        <condense val="0"/>
        <color rgb="FF000000"/>
        <extend val="0"/>
        <sz val="11"/>
        <vertAlign val="baseline"/>
      </font>
      <numFmt numFmtId="0" formatCode="General"/>
      <fill>
        <patternFill patternType="solid">
          <fgColor rgb="FF000000"/>
          <bgColor rgb="FFFFFFFF"/>
        </patternFill>
      </fill>
      <border>
        <left style="thin">
          <color indexed="64"/>
        </left>
        <right style="thin">
          <color indexed="64"/>
        </right>
        <top style="thin">
          <color indexed="64"/>
        </top>
        <bottom style="thin">
          <color indexed="64"/>
        </bottom>
        <vertical/>
        <horizontal/>
      </border>
    </dxf>
    <dxf>
      <font>
        <name val="Calibri"/>
        <family val="2"/>
        <strike val="0"/>
        <outline val="0"/>
        <shadow val="0"/>
        <condense val="0"/>
        <color rgb="FF000000"/>
        <extend val="0"/>
        <sz val="11"/>
        <vertAlign val="baseline"/>
      </font>
      <fill>
        <patternFill patternType="solid">
          <fgColor indexed="64"/>
          <bgColor theme="0"/>
        </patternFill>
      </fill>
      <alignment horizontal="general" vertical="bottom"/>
      <border>
        <left style="thin">
          <color rgb="FF000000"/>
        </left>
        <right style="thin">
          <color rgb="FF000000"/>
        </right>
        <top style="thin">
          <color rgb="FF000000"/>
        </top>
        <bottom style="thin">
          <color rgb="FF000000"/>
        </bottom>
        <vertical/>
        <horizontal/>
      </border>
    </dxf>
    <dxf>
      <font>
        <name val="Aptos Narrow"/>
        <family val="2"/>
        <strike val="0"/>
        <outline val="0"/>
        <shadow val="0"/>
        <condense val="0"/>
        <color rgb="FF000000"/>
        <extend val="0"/>
        <sz val="11"/>
        <vertAlign val="baseline"/>
      </font>
      <fill>
        <patternFill patternType="solid">
          <fgColor rgb="FF000000"/>
          <bgColor rgb="FFFFFFFF"/>
        </patternFill>
      </fill>
      <alignment horizontal="general" vertical="bottom"/>
      <border>
        <left style="thin">
          <color indexed="64"/>
        </left>
        <right style="thin">
          <color indexed="64"/>
        </right>
        <top/>
        <bottom style="thin">
          <color indexed="64"/>
        </bottom>
        <vertical/>
        <horizontal/>
      </border>
    </dxf>
    <dxf>
      <font>
        <name val="Calibri"/>
        <family val="2"/>
        <strike val="0"/>
        <outline val="0"/>
        <shadow val="0"/>
        <condense val="0"/>
        <color rgb="FF000000"/>
        <extend val="0"/>
        <sz val="11"/>
        <vertAlign val="baseline"/>
      </font>
      <fill>
        <patternFill patternType="solid">
          <fgColor indexed="64"/>
          <bgColor theme="0"/>
        </patternFill>
      </fill>
      <alignment horizontal="general" vertical="bottom"/>
      <border>
        <left style="thin">
          <color indexed="64"/>
        </left>
        <right style="thin">
          <color rgb="FF000000"/>
        </right>
        <top style="thin">
          <color rgb="FF000000"/>
        </top>
        <bottom style="thin">
          <color rgb="FF000000"/>
        </bottom>
        <vertical/>
        <horizontal/>
      </border>
      <protection locked="0" hidden="0"/>
    </dxf>
    <dxf>
      <font>
        <name val="Aptos Narrow"/>
        <family val="2"/>
        <strike val="0"/>
        <outline val="0"/>
        <shadow val="0"/>
        <condense val="0"/>
        <color rgb="FF000000"/>
        <extend val="0"/>
        <sz val="11"/>
        <vertAlign val="baseline"/>
      </font>
      <fill>
        <patternFill patternType="solid">
          <fgColor rgb="FF000000"/>
          <bgColor rgb="FFFFFFFF"/>
        </patternFill>
      </fill>
      <alignment horizontal="general" vertical="bottom"/>
    </dxf>
    <dxf>
      <numFmt numFmtId="30" formatCode="@"/>
      <alignment wrapText="1"/>
    </dxf>
    <dxf>
      <numFmt numFmtId="30" formatCode="@"/>
    </dxf>
    <dxf>
      <numFmt numFmtId="30" formatCode="@"/>
    </dxf>
    <dxf>
      <numFmt numFmtId="30" formatCode="@"/>
    </dxf>
    <dxf>
      <numFmt numFmtId="22" formatCode="mmm\-yy"/>
    </dxf>
    <dxf>
      <numFmt numFmtId="30" formatCode="@"/>
    </dxf>
    <dxf>
      <font>
        <name val="Aptos Narrow"/>
        <family val="2"/>
        <b val="1"/>
        <strike val="0"/>
        <outline val="0"/>
        <shadow val="0"/>
        <condense val="0"/>
        <color theme="1"/>
        <extend val="0"/>
        <sz val="11"/>
        <vertAlign val="baseline"/>
        <scheme val="minor"/>
      </font>
    </dxf>
    <dxf>
      <font>
        <color auto="1"/>
      </font>
      <fill>
        <patternFill>
          <bgColor theme="7" tint="0.3999450666829432"/>
        </patternFill>
      </fill>
    </dxf>
    <dxf>
      <numFmt numFmtId="2" formatCode="0.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2" formatCode="0.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dxf>
    <dxf>
      <font>
        <color rgb="FF000000"/>
      </font>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ont>
        <color rgb="FF000000"/>
      </font>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ont>
        <color rgb="FF000000"/>
      </font>
      <fill>
        <patternFill patternType="solid">
          <fgColor rgb="FF000000"/>
          <bgColor rgb="FF81C784"/>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64" formatCode="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alignment horizontal="center" vertical="center"/>
    </dxf>
    <dxf>
      <alignment horizontal="center" vertical="center"/>
    </dxf>
    <dxf>
      <alignment horizontal="center" vertical="center"/>
    </dxf>
    <dxf>
      <alignment horizontal="center" vertical="cent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dxf>
    <dxf>
      <numFmt numFmtId="14" formatCode="0.00%"/>
      <alignment horizontal="center" vertical="center"/>
    </dxf>
    <dxf>
      <numFmt numFmtId="14" formatCode="0.00%"/>
      <alignment horizontal="center" vertical="center"/>
    </dxf>
    <dxf>
      <numFmt numFmtId="14" formatCode="0.00%"/>
      <alignment horizontal="center" vertical="center"/>
    </dxf>
    <dxf>
      <numFmt numFmtId="14" formatCode="0.00%"/>
      <alignment horizontal="center" vertical="center"/>
    </dxf>
    <dxf>
      <fill>
        <patternFill patternType="solid">
          <fgColor indexed="64"/>
          <bgColor theme="0"/>
        </patternFill>
      </fill>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border>
    </dxf>
    <dxf>
      <font>
        <color rgb="FF000000"/>
      </font>
      <numFmt numFmtId="2" formatCode="0.00"/>
      <fill>
        <patternFill patternType="solid">
          <fgColor rgb="FF000000"/>
          <bgColor rgb="FF4FC3F7"/>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numFmt numFmtId="2" formatCode="0.00"/>
      <fill>
        <patternFill patternType="solid">
          <fgColor indexed="64"/>
          <bgColor theme="0"/>
        </patternFill>
      </fill>
      <alignment horizontal="center" vertical="center"/>
      <border>
        <left style="thin">
          <color indexed="64"/>
        </left>
        <right style="thin">
          <color indexed="64"/>
        </right>
        <top style="thin">
          <color indexed="64"/>
        </top>
        <bottom style="thin">
          <color indexed="64"/>
        </bottom>
        <vertical/>
        <horizontal/>
      </border>
      <protection locked="0" hidden="0"/>
    </dxf>
    <dxf>
      <font>
        <name val="Aptos Narrow"/>
        <family val="2"/>
        <strike val="0"/>
        <outline val="0"/>
        <shadow val="0"/>
        <condense val="0"/>
        <color rgb="FF000000"/>
        <extend val="0"/>
        <sz val="11"/>
        <vertAlign val="baseline"/>
      </font>
      <fill>
        <patternFill patternType="solid">
          <fgColor rgb="FF000000"/>
          <bgColor rgb="FFFFFFFF"/>
        </patternFill>
      </fill>
      <alignment horizontal="center" vertical="center"/>
      <border>
        <left style="thin">
          <color indexed="64"/>
        </left>
        <right style="thin">
          <color indexed="64"/>
        </right>
        <top/>
        <bottom style="thin">
          <color indexed="64"/>
        </bottom>
        <vertical/>
        <horizontal/>
      </border>
      <protection locked="0" hidden="0"/>
    </dxf>
    <dxf>
      <font>
        <name val="Aptos Narrow"/>
        <family val="2"/>
        <strike val="0"/>
        <outline val="0"/>
        <shadow val="0"/>
        <condense val="0"/>
        <color rgb="FF000000"/>
        <extend val="0"/>
        <sz val="11"/>
        <vertAlign val="baseline"/>
      </font>
      <fill>
        <patternFill patternType="solid">
          <fgColor rgb="FF000000"/>
          <bgColor rgb="FFFFFFFF"/>
        </patternFill>
      </fill>
      <alignment horizontal="center" vertical="center"/>
      <border>
        <left style="thin">
          <color indexed="64"/>
        </left>
        <right style="thin">
          <color indexed="64"/>
        </right>
        <top/>
        <bottom style="thin">
          <color indexed="64"/>
        </bottom>
        <vertical/>
        <horizontal/>
      </border>
      <protection locked="0" hidden="0"/>
    </dxf>
    <dxf>
      <font>
        <name val="Aptos Narrow"/>
        <family val="2"/>
        <strike val="0"/>
        <outline val="0"/>
        <shadow val="0"/>
        <condense val="0"/>
        <color rgb="FF000000"/>
        <extend val="0"/>
        <sz val="11"/>
        <vertAlign val="baseline"/>
      </font>
      <fill>
        <patternFill patternType="solid">
          <fgColor rgb="FF000000"/>
          <bgColor rgb="FFFFFFFF"/>
        </patternFill>
      </fill>
      <alignment horizontal="center" vertical="center"/>
      <border>
        <left style="thin">
          <color indexed="64"/>
        </left>
        <right style="thin">
          <color indexed="64"/>
        </right>
        <top/>
        <bottom style="thin">
          <color indexed="64"/>
        </bottom>
        <vertical/>
        <horizontal/>
      </border>
      <protection locked="0" hidden="0"/>
    </dxf>
    <dxf>
      <font>
        <name val="Aptos Narrow"/>
        <family val="2"/>
        <strike val="0"/>
        <outline val="0"/>
        <shadow val="0"/>
        <condense val="0"/>
        <color rgb="FF000000"/>
        <extend val="0"/>
        <sz val="11"/>
        <vertAlign val="baseline"/>
      </font>
      <fill>
        <patternFill patternType="solid">
          <fgColor rgb="FF000000"/>
          <bgColor rgb="FFFFFFFF"/>
        </patternFill>
      </fill>
      <alignment horizontal="center" vertical="center"/>
      <border>
        <left style="thin">
          <color indexed="64"/>
        </left>
        <right style="thin">
          <color indexed="64"/>
        </right>
        <top/>
        <bottom style="thin">
          <color indexed="64"/>
        </bottom>
        <vertical/>
        <horizontal/>
      </border>
      <protection locked="0" hidden="0"/>
    </dxf>
    <dxf>
      <fill>
        <patternFill patternType="solid">
          <fgColor indexed="64"/>
          <bgColor theme="0"/>
        </patternFill>
      </fill>
      <border>
        <left style="thin">
          <color indexed="64"/>
        </left>
        <right style="thin">
          <color indexed="64"/>
        </right>
        <top style="thin">
          <color indexed="64"/>
        </top>
        <bottom style="thin">
          <color indexed="64"/>
        </bottom>
        <vertical/>
        <horizontal/>
      </border>
      <protection locked="0" hidden="0"/>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numFmt numFmtId="2" formatCode="0.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2" formatCode="0.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numFmt numFmtId="2" formatCode="0.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164" formatCode="0.0"/>
      <fill>
        <patternFill patternType="solid">
          <fgColor indexed="64"/>
          <bgColor theme="0"/>
        </patternFill>
      </fill>
      <alignment horizontal="center" vertical="bottom"/>
      <border>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fill>
        <patternFill patternType="solid">
          <fgColor indexed="64"/>
          <bgColor theme="0"/>
        </patternFill>
      </fill>
      <border>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indexed="64"/>
          <bgColor theme="0"/>
        </patternFill>
      </fill>
      <alignment horizontal="center" vertical="bottom"/>
    </dxf>
    <dxf>
      <font>
        <name val="Aptos Narrow"/>
        <family val="2"/>
        <strike val="0"/>
        <outline val="0"/>
        <shadow val="0"/>
        <condense val="0"/>
        <color theme="0"/>
        <extend val="0"/>
        <sz val="11"/>
        <vertAlign val="baseline"/>
        <scheme val="minor"/>
      </font>
      <fill>
        <patternFill patternType="solid">
          <fgColor indexed="64"/>
          <bgColor theme="1"/>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FFB74D"/>
          <bgColor rgb="FFFFB74D"/>
        </patternFill>
      </fill>
    </dxf>
    <dxf>
      <fill>
        <patternFill patternType="solid">
          <fgColor rgb="FFFFF176"/>
          <bgColor rgb="FFFFF176"/>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ill>
        <patternFill patternType="solid">
          <fgColor rgb="FFE47373"/>
          <bgColor rgb="FFE47373"/>
        </patternFill>
      </fill>
    </dxf>
    <dxf>
      <fill>
        <patternFill patternType="solid">
          <fgColor rgb="FF81C784"/>
          <bgColor rgb="FF81C784"/>
        </patternFill>
      </fill>
    </dxf>
    <dxf>
      <fill>
        <patternFill patternType="solid">
          <fgColor rgb="FF4FC3F7"/>
          <bgColor rgb="FF4FC3F7"/>
        </patternFill>
      </fill>
    </dxf>
    <dxf>
      <fill>
        <patternFill patternType="solid">
          <fgColor rgb="FFFFFFFF"/>
          <bgColor rgb="FFFFFFFF"/>
        </patternFill>
      </fill>
    </dxf>
    <dxf>
      <font>
        <b val="1"/>
        <strike val="0"/>
        <color theme="0"/>
      </font>
      <fill>
        <patternFill>
          <bgColor theme="1"/>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1">
      <tableStyleElement type="wholeTable" dxfId="1381"/>
    </tableStyle>
    <tableStyle name="Table Style 2" pivot="0" count="2">
      <tableStyleElement type="wholeTable" dxfId="1380"/>
      <tableStyleElement type="headerRow" dxfId="137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2.xml"/><Relationship Id="rId5" Type="http://schemas.openxmlformats.org/officeDocument/2006/relationships/worksheet" Target="/xl/worksheets/sheet5.xml"/><Relationship Id="rId10"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theme" Target="theme/theme1.xml"/></Relationships>
</file>

<file path=xl/comments/comment1.xml><?xml version="1.0" encoding="utf-8"?>
<comments xmlns="http://schemas.openxmlformats.org/spreadsheetml/2006/main">
  <authors>
    <author>Adrian</author>
    <author>Isaac Smethurst</author>
  </authors>
  <commentList>
    <comment ref="J15" authorId="0" shapeId="0">
      <text>
        <t>Adrian:
Should be red (Isaac)</t>
      </text>
    </comment>
    <comment ref="S31" authorId="1" shapeId="0">
      <text>
        <t>• Notes and Reports:
     • Completed on time
     • Accurate
     • Clinically sound
     • Advocate for client
• Service agreements are up to date.</t>
      </text>
    </comment>
    <comment ref="S32" authorId="1" shapeId="0">
      <text>
        <t xml:space="preserve">• Notes/reports generally completed on time and of good quality.
• Service agreements mostly up to date. </t>
      </text>
    </comment>
    <comment ref="S33" authorId="1" shapeId="0">
      <text>
        <t>• Notes/reports mostly on time.
• Clinical quality is developing, occasional revisions.
• Some service agreements need follow-up.</t>
      </text>
    </comment>
    <comment ref="S34" authorId="1" shapeId="0">
      <text>
        <t xml:space="preserve">• Frequent delays in documentation.
• Clinical quality inconsistent.
• Most service agreements not up to date.  </t>
      </text>
    </comment>
    <comment ref="S35" authorId="1" shapeId="0">
      <text>
        <t>• Notes and reports regularly late or missing.
• Clinical quality below standard.
• Service agreements not maintained.</t>
      </text>
    </comment>
    <comment ref="S40" authorId="1" shapeId="0">
      <text>
        <t>• Responsive to admin. 
• Appointments scheduled and confirmed.
• Services in Zanda accurate and timely.
• Efficient travel.</t>
      </text>
    </comment>
    <comment ref="S41" authorId="1" shapeId="0">
      <text>
        <t>• Generally responsive to admin.
• Most appointments scheduled and confirmed in a timely manner. 
• Services entered in Zanda with occasional delays/minor errors.
• Travel mostly efficient.</t>
      </text>
    </comment>
    <comment ref="S42" authorId="1" shapeId="0">
      <text>
        <t>• Moderately responsive to admin.
• Some delays/inconsistencies in appointment scheduling or confirmation.
• Zanda services entry late or incomplete.
• Travel planning can be improved.</t>
      </text>
    </comment>
    <comment ref="S43" authorId="1" shapeId="0">
      <text>
        <t>• Slow response to admin.
• Appointments are frequently unconfirmed or poorly scheduled.
• Zanda service entry is inconsistent or late.
• Travel mostly inefficient.</t>
      </text>
    </comment>
    <comment ref="S44" authorId="1" shapeId="0">
      <text>
        <t>• Rarely responds to admin.
• Appointments often missed, unconfirmed, or disorganised.
• Services not entered in Zanda.
• Travel inefficient.</t>
      </text>
    </comment>
    <comment ref="S49" authorId="1" shapeId="0">
      <text>
        <t>• Positive, engaged, always learning.
• Consistently:
    • Team-first,
    • Contributes ideas
    • Collaborates proactively with OTs (e.g. internal referrals, joint planning).</t>
      </text>
    </comment>
    <comment ref="S50" authorId="1" shapeId="0">
      <text>
        <t>• Reliable.
• Team-focused.
• Open to learning.
• Shares ideas occasionally.
• Collaborates with Ots when asked.</t>
      </text>
    </comment>
    <comment ref="S51" authorId="1" shapeId="0">
      <text>
        <t>• Generally positive with a team mindset.
• Contributes but may need prompting to share ideas or engage with OTs.</t>
      </text>
    </comment>
    <comment ref="S52" authorId="1" shapeId="0">
      <text>
        <t xml:space="preserve">• Inconsistent engagement
• Limited:
    • Learning,
    • team contribution,
    • idea-sharing or,
    • collaboration. </t>
      </text>
    </comment>
    <comment ref="S53" authorId="1" shapeId="0">
      <text>
        <t>• Rarely team-focused.
• Minimal:
    • Growth,
    • idea-sharing or,
    • collaboration with others.</t>
      </text>
    </comment>
  </commentList>
</comments>
</file>

<file path=xl/comments/comment2.xml><?xml version="1.0" encoding="utf-8"?>
<comments xmlns="http://schemas.openxmlformats.org/spreadsheetml/2006/main">
  <authors>
    <author>Isaac Smethurst</author>
  </authors>
  <commentList>
    <comment ref="S33" authorId="0" shapeId="0">
      <text>
        <t>• Notes and Reports:
     • Completed on time
     • Accurate
     • Clinically sound
     • Advocate for client
• Service agreements are up to date.</t>
      </text>
    </comment>
    <comment ref="S34" authorId="0" shapeId="0">
      <text>
        <t xml:space="preserve">• Notes/reports generally completed on time and of good quality.
• Service agreements mostly up to date. </t>
      </text>
    </comment>
    <comment ref="S35" authorId="0" shapeId="0">
      <text>
        <t>• Notes/reports mostly on time.
• Clinical quality is developing, occasional revisions.
• Some service agreements need follow-up.</t>
      </text>
    </comment>
    <comment ref="S36" authorId="0" shapeId="0">
      <text>
        <t xml:space="preserve">• Frequent delays in documentation.
• Clinical quality inconsistent.
• Most service agreements not up to date.  </t>
      </text>
    </comment>
    <comment ref="S37" authorId="0" shapeId="0">
      <text>
        <t>• Notes and reports regularly late or missing.
• Clinical quality below standard.
• Service agreements not maintained.</t>
      </text>
    </comment>
    <comment ref="S42" authorId="0" shapeId="0">
      <text>
        <t>• Responsive to admin. 
• Appointments scheduled and confirmed.
• Services in Zanda accurate and timely.
• Efficient travel.</t>
      </text>
    </comment>
    <comment ref="S43" authorId="0" shapeId="0">
      <text>
        <t>• Generally responsive to admin.
• Most appointments scheduled and confirmed in a timely manner. 
• Services entered in Zanda with occasional delays/minor errors.
• Travel mostly efficient.</t>
      </text>
    </comment>
    <comment ref="S44" authorId="0" shapeId="0">
      <text>
        <t>• Moderately responsive to admin.
• Some delays/inconsistencies in appointment scheduling or confirmation.
• Zanda services entry late or incomplete.
• Travel planning can be improved.</t>
      </text>
    </comment>
    <comment ref="S45" authorId="0" shapeId="0">
      <text>
        <t>• Slow response to admin.
• Appointments are frequently unconfirmed or poorly scheduled.
• Zanda service entry is inconsistent or late.
• Travel mostly inefficient.</t>
      </text>
    </comment>
    <comment ref="S46" authorId="0" shapeId="0">
      <text>
        <t>• Rarely responds to admin.
• Appointments often missed, unconfirmed, or disorganised.
• Services not entered in Zanda.
• Travel inefficient.</t>
      </text>
    </comment>
    <comment ref="S51" authorId="0" shapeId="0">
      <text>
        <t>• Positive, engaged, always learning.
• Consistently:
    • Team-first,
    • Contributes ideas
    • Collaborates proactively with OTs (e.g. internal referrals, joint planning).</t>
      </text>
    </comment>
    <comment ref="S52" authorId="0" shapeId="0">
      <text>
        <t>• Reliable.
• Team-focused.
• Open to learning.
• Shares ideas occasionally.
• Collaborates with Ots when asked.</t>
      </text>
    </comment>
    <comment ref="S53" authorId="0" shapeId="0">
      <text>
        <t>• Generally positive with a team mindset.
• Contributes but may need prompting to share ideas or engage with OTs.</t>
      </text>
    </comment>
    <comment ref="S54" authorId="0" shapeId="0">
      <text>
        <t xml:space="preserve">• Inconsistent engagement
• Limited:
    • Learning,
    • team contribution,
    • idea-sharing or,
    • collaboration. </t>
      </text>
    </comment>
    <comment ref="S55" authorId="0" shapeId="0">
      <text>
        <t>• Rarely team-focused.
• Minimal:
    • Growth,
    • idea-sharing or,
    • collaboration with others.</t>
      </text>
    </comment>
  </commentList>
</comments>
</file>

<file path=xl/comments/comment3.xml><?xml version="1.0" encoding="utf-8"?>
<comments xmlns="http://schemas.openxmlformats.org/spreadsheetml/2006/main">
  <authors>
    <author>Isaac Smethurst</author>
    <author>Adrian</author>
  </authors>
  <commentList>
    <comment ref="Q22" authorId="0" shapeId="0">
      <text>
        <t>• Focuses on clinical notes
• Service agreements
• Invoicing
• Travel efficiency
• Responsiveness to admin communication.</t>
      </text>
    </comment>
    <comment ref="S23" authorId="0" shapeId="0">
      <text>
        <t>• Always submits accurate documentation on time. 
• Responds promptly to admin.
• Plans travel efficiently.
• Follows processes consistently.</t>
      </text>
    </comment>
    <comment ref="S24" authorId="0" shapeId="0">
      <text>
        <t xml:space="preserve">• Mostly accurate and timely with documentation and admin replies. 
• Travel is generally efficient.
</t>
      </text>
    </comment>
    <comment ref="S25" authorId="0" shapeId="0">
      <text>
        <t xml:space="preserve">• Some delays or inconsistencies in documentation or admin responsiveness. 
• Travel planning could improve.
</t>
      </text>
    </comment>
    <comment ref="S26" authorId="0" shapeId="0">
      <text>
        <t xml:space="preserve">• Frequent delays or inefficiencies.
• Often slow to respond to admin. 
• Needs reminders.
</t>
      </text>
    </comment>
    <comment ref="S27" authorId="0" shapeId="0">
      <text>
        <t xml:space="preserve">• Often late or inaccurate.
• Poor planning. 
• Poor admin responsiveness. 
• Non-compliance with systems.
</t>
      </text>
    </comment>
    <comment ref="K28" authorId="1" shapeId="0">
      <text>
        <t xml:space="preserve">Adrian:
</t>
      </text>
    </comment>
    <comment ref="S31" authorId="0" shapeId="0">
      <text>
        <t xml:space="preserve">• Proactive and clear communication.
• Strong relationships.
• Regular positive feedback.
</t>
      </text>
    </comment>
    <comment ref="S32" authorId="0" shapeId="0">
      <text>
        <t xml:space="preserve">• Communicates well most of the time. 
• Positive rapport.
</t>
      </text>
    </comment>
    <comment ref="S33" authorId="0" shapeId="0">
      <text>
        <t xml:space="preserve">• Generally responsive but a bit inconsistent.
</t>
      </text>
    </comment>
    <comment ref="S34" authorId="0" shapeId="0">
      <text>
        <t xml:space="preserve">• Delays or lack of clarity. 
• Occasional negative feedback.
</t>
      </text>
    </comment>
    <comment ref="S35" authorId="0" shapeId="0">
      <text>
        <t xml:space="preserve">• Rarely communicates effectively.
• Ongoing issues.
</t>
      </text>
    </comment>
    <comment ref="S39" authorId="0" shapeId="0">
      <text>
        <t xml:space="preserve">• Delivers meaningful follow-up aligned with recommendations. 
• NDIS funding well utilised.
</t>
      </text>
    </comment>
    <comment ref="S40" authorId="0" shapeId="0">
      <text>
        <t xml:space="preserve">• Follows through on most recommendations.
• Good use of funds.
</t>
      </text>
    </comment>
    <comment ref="S41" authorId="0" shapeId="0">
      <text>
        <t xml:space="preserve">• Some follow-up, but some opportunities missed.
</t>
      </text>
    </comment>
    <comment ref="S42" authorId="0" shapeId="0">
      <text>
        <t xml:space="preserve">• Often doesn't complete follow-up. 
• Funding underused.
</t>
      </text>
    </comment>
    <comment ref="S43" authorId="0" shapeId="0">
      <text>
        <t>• Rarely follows through.
• Consistently underutilised funding.</t>
      </text>
    </comment>
    <comment ref="S47" authorId="0" shapeId="0">
      <text>
        <t xml:space="preserve">• Supports others.
• Shows initiative.
• Always looking to learn and grow.
</t>
      </text>
    </comment>
    <comment ref="S48" authorId="0" shapeId="0">
      <text>
        <t xml:space="preserve">• Positive contributor.
• Growing steadily.
</t>
      </text>
    </comment>
    <comment ref="S49" authorId="0" shapeId="0">
      <text>
        <t>• Participates when prompted.
• Development is steady but passive.</t>
      </text>
    </comment>
    <comment ref="S50" authorId="0" shapeId="0">
      <text>
        <t xml:space="preserve">• Not very engaged.
• Avoids growth opportunities
</t>
      </text>
    </comment>
    <comment ref="S51" authorId="0" shapeId="0">
      <text>
        <t>• Disengaged and avoids feedback or teamwork.</t>
      </text>
    </comment>
  </commentList>
</comments>
</file>

<file path=xl/tables/table1.xml><?xml version="1.0" encoding="utf-8"?>
<table xmlns="http://schemas.openxmlformats.org/spreadsheetml/2006/main" id="1" name="Average_South10" displayName="Average_South10" ref="C10:P15" headerRowCount="1" totalsRowShown="0" headerRowDxfId="1294" dataDxfId="1293" tableBorderDxfId="1292">
  <autoFilter ref="C10:P15"/>
  <tableColumns count="14">
    <tableColumn id="1" name="Team Average" dataDxfId="1291"/>
    <tableColumn id="14" name="Jan" dataDxfId="1290"/>
    <tableColumn id="13" name="Feb" dataDxfId="1289"/>
    <tableColumn id="12" name="Mar" dataDxfId="1288"/>
    <tableColumn id="11" name="Apr" dataDxfId="1287">
      <calculatedColumnFormula>IF(SUMIFS(FTETable[Apr], FTETable[Team Member], "South")=0, "",
    SUMIFS(FTETable[Apr], FTETable[Team Member], "South") /
    SUMIFS(FTETable[Dec], FTETable[Team Member], "South", FTETable[Apr], "&gt;0"))</calculatedColumnFormula>
    </tableColumn>
    <tableColumn id="2" name="May" dataDxfId="1286"/>
    <tableColumn id="3" name="June" dataDxfId="1285"/>
    <tableColumn id="4" name="July" dataDxfId="1284"/>
    <tableColumn id="5" name="Aug" dataDxfId="1283"/>
    <tableColumn id="6" name="Sept" dataDxfId="1282"/>
    <tableColumn id="7" name="Oct" dataDxfId="1281"/>
    <tableColumn id="8" name="Nov" dataDxfId="1280"/>
    <tableColumn id="9" name="Dec" dataDxfId="1279"/>
    <tableColumn id="10" name="Average" dataDxfId="1278">
      <calculatedColumnFormula>IFERROR(AVERAGEIF(D11:O11, "&gt;0"),"")</calculatedColumnFormula>
    </tableColumn>
  </tableColumns>
  <tableStyleInfo name="Table Style 2" showFirstColumn="0" showLastColumn="0" showRowStripes="1" showColumnStripes="0"/>
</table>
</file>

<file path=xl/tables/table2.xml><?xml version="1.0" encoding="utf-8"?>
<table xmlns="http://schemas.openxmlformats.org/spreadsheetml/2006/main" id="2" name="Average_North14" displayName="Average_North14" ref="C17:P22" headerRowCount="1" totalsRowShown="0" headerRowDxfId="1277" dataDxfId="1276" tableBorderDxfId="1275">
  <autoFilter ref="C17:P22"/>
  <tableColumns count="14">
    <tableColumn id="1" name="Team Average" dataDxfId="1274"/>
    <tableColumn id="14" name="Jan" dataDxfId="1273"/>
    <tableColumn id="13" name="Feb" dataDxfId="1272"/>
    <tableColumn id="12" name="Mar" dataDxfId="1271"/>
    <tableColumn id="11" name="Apr" dataDxfId="1270"/>
    <tableColumn id="2" name="May" dataDxfId="1269"/>
    <tableColumn id="3" name="June" dataDxfId="1268"/>
    <tableColumn id="4" name="July" dataDxfId="1267"/>
    <tableColumn id="5" name="Aug" dataDxfId="1266"/>
    <tableColumn id="6" name="Sept" dataDxfId="1265"/>
    <tableColumn id="7" name="Oct" dataDxfId="1264"/>
    <tableColumn id="8" name="Nov" dataDxfId="1263"/>
    <tableColumn id="9" name="Dec" dataDxfId="1262"/>
    <tableColumn id="10" name="Average" dataDxfId="1261">
      <calculatedColumnFormula>IFERROR(AVERAGEIF(D18:O18, "&gt;0"),"")</calculatedColumnFormula>
    </tableColumn>
  </tableColumns>
  <tableStyleInfo name="Table Style 2" showFirstColumn="0" showLastColumn="0" showRowStripes="1" showColumnStripes="0"/>
</table>
</file>

<file path=xl/tables/table3.xml><?xml version="1.0" encoding="utf-8"?>
<table xmlns="http://schemas.openxmlformats.org/spreadsheetml/2006/main" id="3" name="Average_OT20" displayName="Average_OT20" ref="C24:P29" headerRowCount="1" totalsRowShown="0" headerRowDxfId="1260" dataDxfId="1259" tableBorderDxfId="1258">
  <autoFilter ref="C24:P29"/>
  <tableColumns count="14">
    <tableColumn id="1" name="Team Average" dataDxfId="1257"/>
    <tableColumn id="14" name="Jan" dataDxfId="1256"/>
    <tableColumn id="13" name="Feb" dataDxfId="1255"/>
    <tableColumn id="12" name="Mar" dataDxfId="1254"/>
    <tableColumn id="11" name="Apr" dataDxfId="1253"/>
    <tableColumn id="2" name="May" dataDxfId="1252"/>
    <tableColumn id="3" name="June" dataDxfId="1251"/>
    <tableColumn id="4" name="July" dataDxfId="1250"/>
    <tableColumn id="5" name="Aug" dataDxfId="1249"/>
    <tableColumn id="6" name="Sept" dataDxfId="1248"/>
    <tableColumn id="7" name="Oct" dataDxfId="1247"/>
    <tableColumn id="8" name="Nov" dataDxfId="1246"/>
    <tableColumn id="9" name="Dec" dataDxfId="1245"/>
    <tableColumn id="10" name="Average" dataDxfId="1244">
      <calculatedColumnFormula>IFERROR(AVERAGEIF(D25:O25, "&gt;0"),"")</calculatedColumnFormula>
    </tableColumn>
  </tableColumns>
  <tableStyleInfo name="Table Style 2" showFirstColumn="0" showLastColumn="0" showRowStripes="1" showColumnStripes="0"/>
</table>
</file>

<file path=xl/tables/table4.xml><?xml version="1.0" encoding="utf-8"?>
<table xmlns="http://schemas.openxmlformats.org/spreadsheetml/2006/main" id="4" name="Billings_South" displayName="Billings_South" ref="B13:O24" headerRowCount="1" totalsRowShown="0" headerRowDxfId="931" dataDxfId="930" tableBorderDxfId="929">
  <tableColumns count="14">
    <tableColumn id="1" name="Billings" dataDxfId="928"/>
    <tableColumn id="14" name="Jan" dataDxfId="927"/>
    <tableColumn id="13" name="Feb" dataDxfId="926"/>
    <tableColumn id="12" name="Mar" dataDxfId="925"/>
    <tableColumn id="11" name="Apr" dataDxfId="924"/>
    <tableColumn id="2" name="May" dataDxfId="923"/>
    <tableColumn id="3" name="June" dataDxfId="922"/>
    <tableColumn id="4" name="July" dataDxfId="921"/>
    <tableColumn id="5" name="Aug" dataDxfId="920"/>
    <tableColumn id="6" name="Sept" dataDxfId="919"/>
    <tableColumn id="7" name="Oct" dataDxfId="918"/>
    <tableColumn id="8" name="Nov" dataDxfId="917"/>
    <tableColumn id="9" name="Dec" dataDxfId="916"/>
    <tableColumn id="10" name="Average" dataDxfId="915">
      <calculatedColumnFormula>IFERROR(AVERAGE(Billings_South[[#This Row],[Jan]:[Dec]]),"")</calculatedColumnFormula>
    </tableColumn>
  </tableColumns>
  <tableStyleInfo name="Table Style 2" showFirstColumn="0" showLastColumn="0" showRowStripes="1" showColumnStripes="0"/>
</table>
</file>

<file path=xl/tables/table5.xml><?xml version="1.0" encoding="utf-8"?>
<table xmlns="http://schemas.openxmlformats.org/spreadsheetml/2006/main" id="5" name="Ceased_South" displayName="Ceased_South" ref="B26:O37" headerRowCount="1" totalsRowShown="0" headerRowDxfId="914" dataDxfId="913" tableBorderDxfId="912">
  <tableColumns count="14">
    <tableColumn id="1" name="Ceased Services" dataDxfId="911"/>
    <tableColumn id="14" name="Jan" dataDxfId="910"/>
    <tableColumn id="13" name="Feb" dataDxfId="909"/>
    <tableColumn id="12" name="Mar" dataDxfId="908"/>
    <tableColumn id="11" name="Apr" dataDxfId="907"/>
    <tableColumn id="2" name="May" dataDxfId="906"/>
    <tableColumn id="3" name="June" dataDxfId="905"/>
    <tableColumn id="4" name="July" dataDxfId="904"/>
    <tableColumn id="5" name="Aug" dataDxfId="903"/>
    <tableColumn id="6" name="Sept" dataDxfId="902"/>
    <tableColumn id="7" name="Oct" dataDxfId="901"/>
    <tableColumn id="8" name="Nov" dataDxfId="900"/>
    <tableColumn id="9" name="Dec" dataDxfId="899"/>
    <tableColumn id="10" name="Average" dataDxfId="898">
      <calculatedColumnFormula>IFERROR(AVERAGE(Ceased_South[[#This Row],[Jan]:[Dec]]),"")</calculatedColumnFormula>
    </tableColumn>
  </tableColumns>
  <tableStyleInfo name="Table Style 2" showFirstColumn="0" showLastColumn="0" showRowStripes="1" showColumnStripes="0"/>
</table>
</file>

<file path=xl/tables/table6.xml><?xml version="1.0" encoding="utf-8"?>
<table xmlns="http://schemas.openxmlformats.org/spreadsheetml/2006/main" id="6" name="Documentation_South" displayName="Documentation_South" ref="B39:O50" headerRowCount="1" totalsRowShown="0" headerRowDxfId="897" dataDxfId="896" tableBorderDxfId="895">
  <tableColumns count="14">
    <tableColumn id="1" name="Documentation" dataDxfId="894"/>
    <tableColumn id="14" name="Jan" dataDxfId="893"/>
    <tableColumn id="13" name="Feb" dataDxfId="892"/>
    <tableColumn id="12" name="Mar" dataDxfId="891"/>
    <tableColumn id="11" name="Apr" dataDxfId="890"/>
    <tableColumn id="2" name="May" dataDxfId="889"/>
    <tableColumn id="3" name="June" dataDxfId="888"/>
    <tableColumn id="4" name="July" dataDxfId="887"/>
    <tableColumn id="5" name="Aug" dataDxfId="886"/>
    <tableColumn id="6" name="Sept" dataDxfId="885"/>
    <tableColumn id="7" name="Oct" dataDxfId="884"/>
    <tableColumn id="8" name="Nov" dataDxfId="883"/>
    <tableColumn id="9" name="Dec" dataDxfId="882"/>
    <tableColumn id="10" name="Average" dataDxfId="881">
      <calculatedColumnFormula>IFERROR(AVERAGE(Documentation_South[[#This Row],[Jan]:[Dec]]),"")</calculatedColumnFormula>
    </tableColumn>
  </tableColumns>
  <tableStyleInfo name="Table Style 2" showFirstColumn="0" showLastColumn="0" showRowStripes="1" showColumnStripes="0"/>
</table>
</file>

<file path=xl/tables/table7.xml><?xml version="1.0" encoding="utf-8"?>
<table xmlns="http://schemas.openxmlformats.org/spreadsheetml/2006/main" id="7" name="Admin_South" displayName="Admin_South" ref="B52:O63" headerRowCount="1" totalsRowShown="0" headerRowDxfId="880" dataDxfId="879" tableBorderDxfId="878">
  <tableColumns count="14">
    <tableColumn id="1" name="Admin &amp; Operational Efficiency" dataDxfId="877"/>
    <tableColumn id="14" name="Jan" dataDxfId="876"/>
    <tableColumn id="13" name="Feb" dataDxfId="875"/>
    <tableColumn id="12" name="Mar" dataDxfId="874"/>
    <tableColumn id="11" name="Apr" dataDxfId="873"/>
    <tableColumn id="2" name="May" dataDxfId="872"/>
    <tableColumn id="3" name="June" dataDxfId="871"/>
    <tableColumn id="4" name="July" dataDxfId="870"/>
    <tableColumn id="5" name="Aug" dataDxfId="869"/>
    <tableColumn id="6" name="Sept" dataDxfId="868"/>
    <tableColumn id="7" name="Oct" dataDxfId="867"/>
    <tableColumn id="8" name="Nov" dataDxfId="866"/>
    <tableColumn id="9" name="Dec" dataDxfId="865"/>
    <tableColumn id="10" name="Average" dataDxfId="864">
      <calculatedColumnFormula>IFERROR(AVERAGE(Admin_South[[#This Row],[Jan]:[Dec]]),"")</calculatedColumnFormula>
    </tableColumn>
  </tableColumns>
  <tableStyleInfo name="Table Style 2" showFirstColumn="0" showLastColumn="0" showRowStripes="1" showColumnStripes="0"/>
</table>
</file>

<file path=xl/tables/table8.xml><?xml version="1.0" encoding="utf-8"?>
<table xmlns="http://schemas.openxmlformats.org/spreadsheetml/2006/main" id="8" name="Attitude_South" displayName="Attitude_South" ref="B65:O76" headerRowCount="1" totalsRowShown="0" headerRowDxfId="863" dataDxfId="862" tableBorderDxfId="861">
  <tableColumns count="14">
    <tableColumn id="1" name="Attitude, Learning, Collaboration &amp; Client Impact" dataDxfId="860"/>
    <tableColumn id="14" name="Jan" dataDxfId="859"/>
    <tableColumn id="13" name="Feb" dataDxfId="858"/>
    <tableColumn id="12" name="Mar" dataDxfId="857"/>
    <tableColumn id="11" name="Apr" dataDxfId="856"/>
    <tableColumn id="2" name="May" dataDxfId="855"/>
    <tableColumn id="3" name="June" dataDxfId="854"/>
    <tableColumn id="4" name="July" dataDxfId="853"/>
    <tableColumn id="5" name="Aug" dataDxfId="852"/>
    <tableColumn id="6" name="Sept" dataDxfId="851"/>
    <tableColumn id="7" name="Oct" dataDxfId="850"/>
    <tableColumn id="8" name="Nov" dataDxfId="849"/>
    <tableColumn id="9" name="Dec" dataDxfId="848"/>
    <tableColumn id="10" name="Average" dataDxfId="847">
      <calculatedColumnFormula>IFERROR(AVERAGE(Attitude_South[[#This Row],[Jan]:[Dec]]),"")</calculatedColumnFormula>
    </tableColumn>
  </tableColumns>
  <tableStyleInfo name="Table Style 2" showFirstColumn="0" showLastColumn="0" showRowStripes="1" showColumnStripes="0"/>
</table>
</file>

<file path=xl/tables/table9.xml><?xml version="1.0" encoding="utf-8"?>
<table xmlns="http://schemas.openxmlformats.org/spreadsheetml/2006/main" id="9" name="Average_South" displayName="Average_South" ref="B6:O11" headerRowCount="1" totalsRowShown="0" headerRowDxfId="846" dataDxfId="845" tableBorderDxfId="844">
  <autoFilter ref="B6:O1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eam Average" dataDxfId="843"/>
    <tableColumn id="14" name="Jan" dataDxfId="842"/>
    <tableColumn id="13" name="Feb" dataDxfId="841"/>
    <tableColumn id="12" name="Mar" dataDxfId="840"/>
    <tableColumn id="11" name="Apr" dataDxfId="839">
      <calculatedColumnFormula>IF(SUMIFS(FTETable[Apr], FTETable[Team Member], "South")=0, "",
    SUMIFS(FTETable[Apr], FTETable[Team Member], "South") /
    SUMIFS(FTETable[Dec], FTETable[Team Member], "South", FTETable[Apr], "&gt;0"))</calculatedColumnFormula>
    </tableColumn>
    <tableColumn id="2" name="May" dataDxfId="838"/>
    <tableColumn id="3" name="June" dataDxfId="837"/>
    <tableColumn id="4" name="July" dataDxfId="836"/>
    <tableColumn id="5" name="Aug" dataDxfId="835"/>
    <tableColumn id="6" name="Sept" dataDxfId="834"/>
    <tableColumn id="7" name="Oct" dataDxfId="833"/>
    <tableColumn id="8" name="Nov" dataDxfId="832"/>
    <tableColumn id="9" name="Dec" dataDxfId="831"/>
    <tableColumn id="10" name="Average" dataDxfId="830">
      <calculatedColumnFormula>IFERROR(AVERAGEIF(C7:N7, "&gt;0"),"")</calculatedColumnFormula>
    </tableColumn>
  </tableColumns>
  <tableStyleInfo name="Table Style 2" showFirstColumn="0" showLastColumn="0" showRowStripes="1" showColumnStripes="0"/>
</table>
</file>

<file path=xl/tables/table10.xml><?xml version="1.0" encoding="utf-8"?>
<table xmlns="http://schemas.openxmlformats.org/spreadsheetml/2006/main" id="10" name="Billings_North" displayName="Billings_North" ref="B13:O23" headerRowCount="1" totalsRowShown="0" headerRowDxfId="539" dataDxfId="538" tableBorderDxfId="537">
  <tableColumns count="14">
    <tableColumn id="1" name="Billings" dataDxfId="536"/>
    <tableColumn id="14" name="Jan" dataDxfId="535"/>
    <tableColumn id="13" name="Feb" dataDxfId="534"/>
    <tableColumn id="12" name="Mar" dataDxfId="533"/>
    <tableColumn id="11" name="Apr" dataDxfId="532"/>
    <tableColumn id="2" name="May" dataDxfId="531"/>
    <tableColumn id="3" name="June" dataDxfId="530"/>
    <tableColumn id="4" name="July" dataDxfId="529"/>
    <tableColumn id="5" name="Aug" dataDxfId="528"/>
    <tableColumn id="6" name="Sept" dataDxfId="527"/>
    <tableColumn id="7" name="Oct" dataDxfId="526"/>
    <tableColumn id="8" name="Nov" dataDxfId="525"/>
    <tableColumn id="9" name="Dec" dataDxfId="524"/>
    <tableColumn id="10" name="Average" dataDxfId="523">
      <calculatedColumnFormula>IFERROR(AVERAGE(Billings_North[[#This Row],[May]:[Dec]]),"")</calculatedColumnFormula>
    </tableColumn>
  </tableColumns>
  <tableStyleInfo name="Table Style 2" showFirstColumn="0" showLastColumn="0" showRowStripes="1" showColumnStripes="0"/>
</table>
</file>

<file path=xl/tables/table11.xml><?xml version="1.0" encoding="utf-8"?>
<table xmlns="http://schemas.openxmlformats.org/spreadsheetml/2006/main" id="11" name="Ceased_North" displayName="Ceased_North" ref="B25:O35" headerRowCount="1" totalsRowShown="0" headerRowDxfId="522" dataDxfId="521" tableBorderDxfId="520">
  <tableColumns count="14">
    <tableColumn id="1" name="Ceased Services" dataDxfId="519"/>
    <tableColumn id="14" name="Jan" dataDxfId="518"/>
    <tableColumn id="13" name="Feb" dataDxfId="517"/>
    <tableColumn id="12" name="Mar" dataDxfId="516"/>
    <tableColumn id="11" name="Apr" dataDxfId="515"/>
    <tableColumn id="2" name="May" dataDxfId="514"/>
    <tableColumn id="3" name="June" dataDxfId="513"/>
    <tableColumn id="4" name="July" dataDxfId="512"/>
    <tableColumn id="5" name="Aug" dataDxfId="511"/>
    <tableColumn id="6" name="Sept" dataDxfId="510"/>
    <tableColumn id="7" name="Oct" dataDxfId="509"/>
    <tableColumn id="8" name="Nov" dataDxfId="508"/>
    <tableColumn id="9" name="Dec" dataDxfId="507"/>
    <tableColumn id="10" name="Average" dataDxfId="506">
      <calculatedColumnFormula>IFERROR(AVERAGE(Ceased_North[[#This Row],[Jan]:[Dec]]),"")</calculatedColumnFormula>
    </tableColumn>
  </tableColumns>
  <tableStyleInfo name="Table Style 2" showFirstColumn="0" showLastColumn="0" showRowStripes="1" showColumnStripes="0"/>
</table>
</file>

<file path=xl/tables/table12.xml><?xml version="1.0" encoding="utf-8"?>
<table xmlns="http://schemas.openxmlformats.org/spreadsheetml/2006/main" id="12" name="Documentation_North" displayName="Documentation_North" ref="B37:O47" headerRowCount="1" totalsRowShown="0" headerRowDxfId="505" dataDxfId="504" tableBorderDxfId="503">
  <tableColumns count="14">
    <tableColumn id="1" name="Documentation" dataDxfId="502"/>
    <tableColumn id="14" name="Jan" dataDxfId="501"/>
    <tableColumn id="13" name="Feb" dataDxfId="500"/>
    <tableColumn id="12" name="Mar" dataDxfId="499"/>
    <tableColumn id="11" name="Apr" dataDxfId="498"/>
    <tableColumn id="2" name="May" dataDxfId="497"/>
    <tableColumn id="3" name="June" dataDxfId="496"/>
    <tableColumn id="4" name="July" dataDxfId="495"/>
    <tableColumn id="5" name="Aug" dataDxfId="494"/>
    <tableColumn id="6" name="Sept" dataDxfId="493"/>
    <tableColumn id="7" name="Oct" dataDxfId="492"/>
    <tableColumn id="8" name="Nov" dataDxfId="491"/>
    <tableColumn id="9" name="Dec" dataDxfId="490"/>
    <tableColumn id="10" name="Average" dataDxfId="489">
      <calculatedColumnFormula>IFERROR(AVERAGE(Documentation_North[[#This Row],[Jan]:[Dec]]),"")</calculatedColumnFormula>
    </tableColumn>
  </tableColumns>
  <tableStyleInfo name="Table Style 2" showFirstColumn="0" showLastColumn="0" showRowStripes="1" showColumnStripes="0"/>
</table>
</file>

<file path=xl/tables/table13.xml><?xml version="1.0" encoding="utf-8"?>
<table xmlns="http://schemas.openxmlformats.org/spreadsheetml/2006/main" id="13" name="Admin_North" displayName="Admin_North" ref="B49:O59" headerRowCount="1" totalsRowShown="0" headerRowDxfId="488" dataDxfId="487" tableBorderDxfId="486">
  <tableColumns count="14">
    <tableColumn id="1" name="Admin &amp; Operational Efficiency" dataDxfId="485"/>
    <tableColumn id="14" name="Jan" dataDxfId="484"/>
    <tableColumn id="13" name="Feb" dataDxfId="483"/>
    <tableColumn id="12" name="Mar" dataDxfId="482"/>
    <tableColumn id="11" name="Apr" dataDxfId="481"/>
    <tableColumn id="2" name="May" dataDxfId="480"/>
    <tableColumn id="3" name="June" dataDxfId="479"/>
    <tableColumn id="4" name="July" dataDxfId="478"/>
    <tableColumn id="5" name="Aug" dataDxfId="477"/>
    <tableColumn id="6" name="Sept" dataDxfId="476"/>
    <tableColumn id="7" name="Oct" dataDxfId="475"/>
    <tableColumn id="8" name="Nov" dataDxfId="474"/>
    <tableColumn id="9" name="Dec" dataDxfId="473"/>
    <tableColumn id="10" name="Average" dataDxfId="472">
      <calculatedColumnFormula>IFERROR(AVERAGE(Admin_North[[#This Row],[Jan]:[Dec]]),"")</calculatedColumnFormula>
    </tableColumn>
  </tableColumns>
  <tableStyleInfo name="Table Style 2" showFirstColumn="0" showLastColumn="0" showRowStripes="1" showColumnStripes="0"/>
</table>
</file>

<file path=xl/tables/table14.xml><?xml version="1.0" encoding="utf-8"?>
<table xmlns="http://schemas.openxmlformats.org/spreadsheetml/2006/main" id="14" name="Attitude_North" displayName="Attitude_North" ref="B61:O71" headerRowCount="1" totalsRowShown="0" headerRowDxfId="471" dataDxfId="470" tableBorderDxfId="469">
  <tableColumns count="14">
    <tableColumn id="1" name="Attitude, Learning, Collaboration &amp; Client Impact" dataDxfId="468"/>
    <tableColumn id="14" name="Jan" dataDxfId="467"/>
    <tableColumn id="13" name="Feb" dataDxfId="466"/>
    <tableColumn id="12" name="Mar" dataDxfId="465"/>
    <tableColumn id="11" name="Apr" dataDxfId="464"/>
    <tableColumn id="2" name="May" dataDxfId="463"/>
    <tableColumn id="3" name="June" dataDxfId="462"/>
    <tableColumn id="4" name="July" dataDxfId="461"/>
    <tableColumn id="5" name="Aug" dataDxfId="460"/>
    <tableColumn id="6" name="Sept" dataDxfId="459"/>
    <tableColumn id="7" name="Oct" dataDxfId="458"/>
    <tableColumn id="8" name="Nov" dataDxfId="457"/>
    <tableColumn id="9" name="Dec" dataDxfId="456"/>
    <tableColumn id="10" name="Average" dataDxfId="455">
      <calculatedColumnFormula>IFERROR(AVERAGE(Attitude_North[[#This Row],[Jan]:[Dec]]),"")</calculatedColumnFormula>
    </tableColumn>
  </tableColumns>
  <tableStyleInfo name="Table Style 2" showFirstColumn="0" showLastColumn="0" showRowStripes="1" showColumnStripes="0"/>
</table>
</file>

<file path=xl/tables/table15.xml><?xml version="1.0" encoding="utf-8"?>
<table xmlns="http://schemas.openxmlformats.org/spreadsheetml/2006/main" id="15" name="Average_North" displayName="Average_North" ref="B6:O11" headerRowCount="1" totalsRowShown="0" headerRowDxfId="454" dataDxfId="453" tableBorderDxfId="452">
  <autoFilter ref="B6:O1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eam Average" dataDxfId="451"/>
    <tableColumn id="14" name="Jan" dataDxfId="450"/>
    <tableColumn id="13" name="Feb" dataDxfId="449"/>
    <tableColumn id="12" name="Mar" dataDxfId="448"/>
    <tableColumn id="11" name="Apr" dataDxfId="447"/>
    <tableColumn id="2" name="May" dataDxfId="446"/>
    <tableColumn id="3" name="June" dataDxfId="445"/>
    <tableColumn id="4" name="July" dataDxfId="444"/>
    <tableColumn id="5" name="Aug" dataDxfId="443"/>
    <tableColumn id="6" name="Sept" dataDxfId="442"/>
    <tableColumn id="7" name="Oct" dataDxfId="441"/>
    <tableColumn id="8" name="Nov" dataDxfId="440"/>
    <tableColumn id="9" name="Dec" dataDxfId="439"/>
    <tableColumn id="10" name="Average" dataDxfId="438">
      <calculatedColumnFormula>IFERROR(AVERAGEIF(C7:N7, "&gt;0"),"")</calculatedColumnFormula>
    </tableColumn>
  </tableColumns>
  <tableStyleInfo name="Table Style 2" showFirstColumn="0" showLastColumn="0" showRowStripes="1" showColumnStripes="0"/>
</table>
</file>

<file path=xl/tables/table16.xml><?xml version="1.0" encoding="utf-8"?>
<table xmlns="http://schemas.openxmlformats.org/spreadsheetml/2006/main" id="16" name="Billings_OT" displayName="Billings_OT" ref="B13:O23" headerRowCount="1" totalsRowShown="0" headerRowDxfId="125" dataDxfId="124" tableBorderDxfId="123">
  <tableColumns count="14">
    <tableColumn id="1" name="Billings" dataDxfId="122"/>
    <tableColumn id="14" name="Jan" dataDxfId="121"/>
    <tableColumn id="13" name="Feb" dataDxfId="120"/>
    <tableColumn id="12" name="Mar" dataDxfId="119"/>
    <tableColumn id="11" name="Apr" dataDxfId="118"/>
    <tableColumn id="2" name="May" dataDxfId="117"/>
    <tableColumn id="3" name="June" dataDxfId="116"/>
    <tableColumn id="4" name="July" dataDxfId="115"/>
    <tableColumn id="5" name="Aug" dataDxfId="114"/>
    <tableColumn id="6" name="Sept" dataDxfId="113"/>
    <tableColumn id="7" name="Oct" dataDxfId="112"/>
    <tableColumn id="8" name="Nov" dataDxfId="111"/>
    <tableColumn id="9" name="Dec" dataDxfId="110"/>
    <tableColumn id="10" name="Average" dataDxfId="109">
      <calculatedColumnFormula>IFERROR(AVERAGE(Billings_OT[[#This Row],[Jan]:[Dec]]),"")</calculatedColumnFormula>
    </tableColumn>
  </tableColumns>
  <tableStyleInfo name="Table Style 2" showFirstColumn="0" showLastColumn="0" showRowStripes="1" showColumnStripes="0"/>
</table>
</file>

<file path=xl/tables/table17.xml><?xml version="1.0" encoding="utf-8"?>
<table xmlns="http://schemas.openxmlformats.org/spreadsheetml/2006/main" id="17" name="Compliance_OT" displayName="Compliance_OT" ref="B25:O35" headerRowCount="1" totalsRowShown="0" headerRowDxfId="108" dataDxfId="107" tableBorderDxfId="106">
  <tableColumns count="14">
    <tableColumn id="1" name="Operational Efficiency, Compliance &amp; Admin Responsiveness" dataDxfId="105"/>
    <tableColumn id="14" name="Jan" dataDxfId="104"/>
    <tableColumn id="13" name="Feb" dataDxfId="103"/>
    <tableColumn id="12" name="Mar" dataDxfId="102"/>
    <tableColumn id="11" name="Apr" dataDxfId="101"/>
    <tableColumn id="2" name="May" dataDxfId="100"/>
    <tableColumn id="3" name="June" dataDxfId="99"/>
    <tableColumn id="4" name="July" dataDxfId="98"/>
    <tableColumn id="5" name="Aug" dataDxfId="97"/>
    <tableColumn id="6" name="Sept" dataDxfId="96"/>
    <tableColumn id="7" name="Oct" dataDxfId="95"/>
    <tableColumn id="8" name="Nov" dataDxfId="94"/>
    <tableColumn id="9" name="Dec" dataDxfId="93"/>
    <tableColumn id="10" name="Average" dataDxfId="92">
      <calculatedColumnFormula>IFERROR(AVERAGE(Compliance_OT[[#This Row],[Jan]:[Dec]]),"")</calculatedColumnFormula>
    </tableColumn>
  </tableColumns>
  <tableStyleInfo name="Table Style 2" showFirstColumn="0" showLastColumn="0" showRowStripes="1" showColumnStripes="0"/>
</table>
</file>

<file path=xl/tables/table18.xml><?xml version="1.0" encoding="utf-8"?>
<table xmlns="http://schemas.openxmlformats.org/spreadsheetml/2006/main" id="18" name="ReferrerEng_OT" displayName="ReferrerEng_OT" ref="B37:O47" headerRowCount="1" totalsRowShown="0" headerRowDxfId="91" dataDxfId="90" tableBorderDxfId="89">
  <tableColumns count="14">
    <tableColumn id="1" name="Client &amp; Referrer Satisfaction" dataDxfId="88"/>
    <tableColumn id="14" name="Jan" dataDxfId="87"/>
    <tableColumn id="13" name="Feb" dataDxfId="86"/>
    <tableColumn id="12" name="Mar" dataDxfId="85"/>
    <tableColumn id="11" name="Apr" dataDxfId="84"/>
    <tableColumn id="2" name="May" dataDxfId="83"/>
    <tableColumn id="3" name="June" dataDxfId="82"/>
    <tableColumn id="4" name="July" dataDxfId="81"/>
    <tableColumn id="5" name="Aug" dataDxfId="80"/>
    <tableColumn id="6" name="Sept" dataDxfId="79"/>
    <tableColumn id="7" name="Oct" dataDxfId="78"/>
    <tableColumn id="8" name="Nov" dataDxfId="77"/>
    <tableColumn id="9" name="Dec" dataDxfId="76"/>
    <tableColumn id="10" name="Average" dataDxfId="75">
      <calculatedColumnFormula>IFERROR(AVERAGE(ReferrerEng_OT[[#This Row],[Jan]:[Dec]]),"")</calculatedColumnFormula>
    </tableColumn>
  </tableColumns>
  <tableStyleInfo name="Table Style 2" showFirstColumn="0" showLastColumn="0" showRowStripes="1" showColumnStripes="0"/>
</table>
</file>

<file path=xl/tables/table19.xml><?xml version="1.0" encoding="utf-8"?>
<table xmlns="http://schemas.openxmlformats.org/spreadsheetml/2006/main" id="19" name="Capacity_OT" displayName="Capacity_OT" ref="B49:O59" headerRowCount="1" totalsRowShown="0" headerRowDxfId="74" dataDxfId="73" tableBorderDxfId="72">
  <tableColumns count="14">
    <tableColumn id="1" name="Capacity Building &amp; Use of NDIS Funding" dataDxfId="71"/>
    <tableColumn id="14" name="Jan" dataDxfId="70"/>
    <tableColumn id="13" name="Feb" dataDxfId="69"/>
    <tableColumn id="12" name="Mar" dataDxfId="68"/>
    <tableColumn id="11" name="Apr" dataDxfId="67"/>
    <tableColumn id="2" name="May" dataDxfId="66"/>
    <tableColumn id="3" name="June" dataDxfId="65"/>
    <tableColumn id="4" name="July" dataDxfId="64"/>
    <tableColumn id="5" name="Aug" dataDxfId="63"/>
    <tableColumn id="6" name="Sept" dataDxfId="62"/>
    <tableColumn id="7" name="Oct" dataDxfId="61"/>
    <tableColumn id="8" name="Nov" dataDxfId="60"/>
    <tableColumn id="9" name="Dec" dataDxfId="59"/>
    <tableColumn id="10" name="Average" dataDxfId="58">
      <calculatedColumnFormula>IFERROR(AVERAGE(Capacity_OT[[#This Row],[Jan]:[Dec]]),"")</calculatedColumnFormula>
    </tableColumn>
  </tableColumns>
  <tableStyleInfo name="Table Style 2" showFirstColumn="0" showLastColumn="0" showRowStripes="1" showColumnStripes="0"/>
</table>
</file>

<file path=xl/tables/table20.xml><?xml version="1.0" encoding="utf-8"?>
<table xmlns="http://schemas.openxmlformats.org/spreadsheetml/2006/main" id="20" name="Attitude_OT" displayName="Attitude_OT" ref="B61:O71" headerRowCount="1" totalsRowShown="0" headerRowDxfId="57" dataDxfId="56" tableBorderDxfId="55">
  <tableColumns count="14">
    <tableColumn id="1" name="Team Contribution, Attitude &amp; Clinical Growth" dataDxfId="54"/>
    <tableColumn id="14" name="Jan" dataDxfId="53"/>
    <tableColumn id="13" name="Feb" dataDxfId="52"/>
    <tableColumn id="12" name="Mar" dataDxfId="51"/>
    <tableColumn id="11" name="Apr" dataDxfId="50"/>
    <tableColumn id="2" name="May" dataDxfId="49"/>
    <tableColumn id="3" name="June" dataDxfId="48"/>
    <tableColumn id="4" name="July" dataDxfId="47"/>
    <tableColumn id="5" name="Aug" dataDxfId="46"/>
    <tableColumn id="6" name="Sept" dataDxfId="45"/>
    <tableColumn id="7" name="Oct" dataDxfId="44"/>
    <tableColumn id="8" name="Nov" dataDxfId="43"/>
    <tableColumn id="9" name="Dec" dataDxfId="42"/>
    <tableColumn id="10" name="Average" dataDxfId="41">
      <calculatedColumnFormula>IFERROR(AVERAGE(Attitude_OT[[#This Row],[Jan]:[Dec]]),"")</calculatedColumnFormula>
    </tableColumn>
  </tableColumns>
  <tableStyleInfo name="Table Style 2" showFirstColumn="0" showLastColumn="0" showRowStripes="1" showColumnStripes="0"/>
</table>
</file>

<file path=xl/tables/table21.xml><?xml version="1.0" encoding="utf-8"?>
<table xmlns="http://schemas.openxmlformats.org/spreadsheetml/2006/main" id="21" name="Average_OT" displayName="Average_OT" ref="B6:O11" headerRowCount="1" totalsRowShown="0" headerRowDxfId="40" dataDxfId="39" tableBorderDxfId="38">
  <autoFilter ref="B6:O1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eam Average" dataDxfId="37"/>
    <tableColumn id="14" name="Jan" dataDxfId="36"/>
    <tableColumn id="13" name="Feb" dataDxfId="35"/>
    <tableColumn id="12" name="Mar" dataDxfId="34"/>
    <tableColumn id="11" name="Apr" dataDxfId="33"/>
    <tableColumn id="2" name="May" dataDxfId="32"/>
    <tableColumn id="3" name="June" dataDxfId="31"/>
    <tableColumn id="4" name="July" dataDxfId="30"/>
    <tableColumn id="5" name="Aug" dataDxfId="29"/>
    <tableColumn id="6" name="Sept" dataDxfId="28"/>
    <tableColumn id="7" name="Oct" dataDxfId="27"/>
    <tableColumn id="8" name="Nov" dataDxfId="26"/>
    <tableColumn id="9" name="Dec" dataDxfId="25"/>
    <tableColumn id="10" name="Average" dataDxfId="24">
      <calculatedColumnFormula>IFERROR(AVERAGEIF(C7:N7, "&gt;0"),"")</calculatedColumnFormula>
    </tableColumn>
  </tableColumns>
  <tableStyleInfo name="Table Style 2" showFirstColumn="0" showLastColumn="0" showRowStripes="1" showColumnStripes="0"/>
</table>
</file>

<file path=xl/tables/table22.xml><?xml version="1.0" encoding="utf-8"?>
<table xmlns="http://schemas.openxmlformats.org/spreadsheetml/2006/main" id="22" name="Table20" displayName="Table20" ref="A2:F271" headerRowCount="1" headerRowDxfId="22">
  <autoFilter ref="A2:F271"/>
  <sortState ref="A3:F237">
    <sortCondition ref="B2:B237"/>
  </sortState>
  <tableColumns count="6">
    <tableColumn id="1" name="Therapist" totalsRowLabel="Total" dataDxfId="21"/>
    <tableColumn id="2" name="Month" dataDxfId="20"/>
    <tableColumn id="3" name="Client name" dataDxfId="19"/>
    <tableColumn id="5" name="Ceased Services/On Hold" dataDxfId="18"/>
    <tableColumn id="6" name="Client Type" dataDxfId="17"/>
    <tableColumn id="4" name="Reason for ceasing" totalsRowFunction="count" dataDxfId="16"/>
  </tableColumns>
  <tableStyleInfo name="TableStyleMedium1" showFirstColumn="0" showLastColumn="0" showRowStripes="0" showColumnStripes="0"/>
</table>
</file>

<file path=xl/tables/table23.xml><?xml version="1.0" encoding="utf-8"?>
<table xmlns="http://schemas.openxmlformats.org/spreadsheetml/2006/main" id="23" name="FTETable" displayName="FTETable" ref="A1:O29" headerRowCount="1" totalsRowShown="0" dataDxfId="15">
  <autoFilter ref="A1:O29"/>
  <tableColumns count="15">
    <tableColumn id="1" name="Team Member" dataDxfId="14"/>
    <tableColumn id="2" name="FTE" dataDxfId="13"/>
    <tableColumn id="3" name="Team" dataDxfId="12"/>
    <tableColumn id="15" name="Jan" dataDxfId="11">
      <calculatedColumnFormula>IFERROR(IF($C2="Physio_North",INDEX('KPI Dashboard North'!$C:$C,MATCH($A2,'KPI Dashboard North'!$B:$B,0)),IF($C2="Physio_South",INDEX('KPI Dashboard South'!$C:$C,MATCH($A2,'KPI Dashboard South'!$B:$B,0)),INDEX('KPI Dashboard OT'!$C:$C,MATCH($A2,'KPI Dashboard OT'!$B:$B,0))))*B2,"")</calculatedColumnFormula>
    </tableColumn>
    <tableColumn id="14" name="Feb" dataDxfId="10">
      <calculatedColumnFormula>IFERROR(IF($C2="Physio_North",INDEX('KPI Dashboard North'!$D:$D,MATCH($A2,'KPI Dashboard North'!$B:$B,0)),IF($C2="Physio_South",INDEX('KPI Dashboard South'!$D:$D,MATCH($A2,'KPI Dashboard South'!$B:$B,0)),INDEX('KPI Dashboard OT'!$D:$D,MATCH($A2,'KPI Dashboard OT'!$B:$B,0))))*$B2,"")</calculatedColumnFormula>
    </tableColumn>
    <tableColumn id="13" name="Mar" dataDxfId="9">
      <calculatedColumnFormula>IFERROR(IF($C2="Physio_North",INDEX('KPI Dashboard North'!$E:$E,MATCH($A2,'KPI Dashboard North'!$B:$B,0)),IF($C2="Physio_South",INDEX('KPI Dashboard South'!$E:$E,MATCH($A2,'KPI Dashboard South'!$B:$B,0)),INDEX('KPI Dashboard OT'!$E:$E,MATCH($A2,'KPI Dashboard OT'!$B:$B,0))))*$B2,"")</calculatedColumnFormula>
    </tableColumn>
    <tableColumn id="12" name="Apr" dataDxfId="8">
      <calculatedColumnFormula>IFERROR(IF($C2="Physio_North",INDEX('KPI Dashboard North'!$F:$F,MATCH($A2,'KPI Dashboard North'!$B:$B,0)),IF($C2="Physio_South",INDEX('KPI Dashboard South'!$F:$F,MATCH($A2,'KPI Dashboard South'!$B:$B,0)),INDEX('KPI Dashboard OT'!$F:$F,MATCH($A2,'KPI Dashboard OT'!$B:$B,0))))*$B2,"")</calculatedColumnFormula>
    </tableColumn>
    <tableColumn id="4" name="May" dataDxfId="7">
      <calculatedColumnFormula>IFERROR(IF($C2="Physio_North",INDEX('KPI Dashboard North'!$G:$G,MATCH($A2,'KPI Dashboard North'!$B:$B,0)),IF($C2="Physio_South",INDEX('KPI Dashboard South'!$G:$G,MATCH($A2,'KPI Dashboard South'!$B:$B,0)),INDEX('KPI Dashboard OT'!$G:$G,MATCH($A2,'KPI Dashboard OT'!$B:$B,0))))*$B2,"")</calculatedColumnFormula>
    </tableColumn>
    <tableColumn id="5" name="June" dataDxfId="6">
      <calculatedColumnFormula>IFERROR(IF($C2="Physio_North",INDEX('KPI Dashboard North'!$H:$H,MATCH($A2,'KPI Dashboard North'!$B:$B,0)),IF($C2="Physio_South",INDEX('KPI Dashboard South'!$H:$H,MATCH($A2,'KPI Dashboard South'!$B:$B,0)),INDEX('KPI Dashboard OT'!$H:$H,MATCH($A2,'KPI Dashboard OT'!$B:$B,0))))*$B2,"")</calculatedColumnFormula>
    </tableColumn>
    <tableColumn id="6" name="July" dataDxfId="5">
      <calculatedColumnFormula>IFERROR(IF($C2="Physio_North",INDEX('KPI Dashboard North'!$I:$I,MATCH($A2,'KPI Dashboard North'!$B:$B,0)),IF($C2="Physio_South",INDEX('KPI Dashboard South'!$I:$I,MATCH($A2,'KPI Dashboard South'!$B:$B,0)),INDEX('KPI Dashboard OT'!$I:$I,MATCH($A2,'KPI Dashboard OT'!$B:$B,0))))*$B2,"")</calculatedColumnFormula>
    </tableColumn>
    <tableColumn id="7" name="Aug" dataDxfId="4">
      <calculatedColumnFormula>IFERROR(IF($C2="Physio_North",INDEX('KPI Dashboard North'!$J:$J,MATCH($A2,'KPI Dashboard North'!$B:$B,0)),IF($C2="Physio_South",INDEX('KPI Dashboard South'!$J:$J,MATCH($A2,'KPI Dashboard South'!$B:$B,0)),INDEX('KPI Dashboard OT'!$J:$J,MATCH($A2,'KPI Dashboard OT'!$B:$B,0))))*$B2,"")</calculatedColumnFormula>
    </tableColumn>
    <tableColumn id="8" name="Sept" dataDxfId="3">
      <calculatedColumnFormula>IFERROR(IF($C2="Physio_North",INDEX('KPI Dashboard North'!$K:$K,MATCH($A2,'KPI Dashboard North'!$B:$B,0)),IF($C2="Physio_South",INDEX('KPI Dashboard South'!$K:$K,MATCH($A2,'KPI Dashboard South'!$B:$B,0)),INDEX('KPI Dashboard OT'!$K:$K,MATCH($A2,'KPI Dashboard OT'!$B:$B,0))))*$B2,"")</calculatedColumnFormula>
    </tableColumn>
    <tableColumn id="9" name="Oct" dataDxfId="2">
      <calculatedColumnFormula>IFERROR(IF($C2="Physio_North",INDEX('KPI Dashboard North'!$L:$L,MATCH($A2,'KPI Dashboard North'!$B:$B,0)),IF($C2="Physio_South",INDEX('KPI Dashboard South'!$L:$L,MATCH($A2,'KPI Dashboard South'!$B:$B,0)),INDEX('KPI Dashboard OT'!$L:$L,MATCH($A2,'KPI Dashboard OT'!$B:$B,0))))*$B2,"")</calculatedColumnFormula>
    </tableColumn>
    <tableColumn id="10" name="Nov" dataDxfId="1">
      <calculatedColumnFormula>IFERROR(IF($C2="Physio_North",INDEX('KPI Dashboard North'!$M:$M,MATCH($A2,'KPI Dashboard North'!$B:$B,0)),IF($C2="Physio_South",INDEX('KPI Dashboard South'!$M:$M,MATCH($A2,'KPI Dashboard South'!$B:$B,0)),INDEX('KPI Dashboard OT'!$M:$M,MATCH($A2,'KPI Dashboard OT'!$B:$B,0))))*$B2,"")</calculatedColumnFormula>
    </tableColumn>
    <tableColumn id="11" name="Dec" dataDxfId="0">
      <calculatedColumnFormula>IFERROR(IF($C2="Physio_North",INDEX('KPI Dashboard North'!$N:$N,MATCH($A2,'KPI Dashboard North'!$B:$B,0)),IF($C2="Physio_South",INDEX('KPI Dashboard South'!$N:$N,MATCH($A2,'KPI Dashboard South'!$B:$B,0)),INDEX('KPI Dashboard OT'!$N:$N,MATCH($A2,'KPI Dashboard OT'!$B:$B,0))))*$B2,"")</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2.xml.rels><Relationships xmlns="http://schemas.openxmlformats.org/package/2006/relationships"><Relationship Type="http://schemas.openxmlformats.org/officeDocument/2006/relationships/table" Target="/xl/tables/table4.xml" Id="rId1" /><Relationship Type="http://schemas.openxmlformats.org/officeDocument/2006/relationships/table" Target="/xl/tables/table5.xml" Id="rId2" /><Relationship Type="http://schemas.openxmlformats.org/officeDocument/2006/relationships/table" Target="/xl/tables/table6.xml" Id="rId3" /><Relationship Type="http://schemas.openxmlformats.org/officeDocument/2006/relationships/table" Target="/xl/tables/table7.xml" Id="rId4" /><Relationship Type="http://schemas.openxmlformats.org/officeDocument/2006/relationships/table" Target="/xl/tables/table8.xml" Id="rId5" /><Relationship Type="http://schemas.openxmlformats.org/officeDocument/2006/relationships/table" Target="/xl/tables/table9.xm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10.xml" Id="rId1" /><Relationship Type="http://schemas.openxmlformats.org/officeDocument/2006/relationships/table" Target="/xl/tables/table11.xml" Id="rId2" /><Relationship Type="http://schemas.openxmlformats.org/officeDocument/2006/relationships/table" Target="/xl/tables/table12.xml" Id="rId3" /><Relationship Type="http://schemas.openxmlformats.org/officeDocument/2006/relationships/table" Target="/xl/tables/table13.xml" Id="rId4" /><Relationship Type="http://schemas.openxmlformats.org/officeDocument/2006/relationships/table" Target="/xl/tables/table14.xml" Id="rId5" /><Relationship Type="http://schemas.openxmlformats.org/officeDocument/2006/relationships/table" Target="/xl/tables/table15.xml" Id="rId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 Type="http://schemas.openxmlformats.org/officeDocument/2006/relationships/table" Target="/xl/tables/table19.xml" Id="rId4" /><Relationship Type="http://schemas.openxmlformats.org/officeDocument/2006/relationships/table" Target="/xl/tables/table20.xml" Id="rId5" /><Relationship Type="http://schemas.openxmlformats.org/officeDocument/2006/relationships/table" Target="/xl/tables/table21.xml" Id="rId6"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table" Target="/xl/tables/table22.xml" Id="rId1" /></Relationships>
</file>

<file path=xl/worksheets/_rels/sheet7.xml.rels><Relationships xmlns="http://schemas.openxmlformats.org/package/2006/relationships"><Relationship Type="http://schemas.openxmlformats.org/officeDocument/2006/relationships/table" Target="/xl/tables/table23.xml" Id="rId1" /></Relationships>
</file>

<file path=xl/worksheets/sheet1.xml><?xml version="1.0" encoding="utf-8"?>
<worksheet xmlns="http://schemas.openxmlformats.org/spreadsheetml/2006/main">
  <sheetPr>
    <outlinePr summaryBelow="1" summaryRight="1"/>
    <pageSetUpPr/>
  </sheetPr>
  <dimension ref="A2:P36"/>
  <sheetViews>
    <sheetView zoomScale="74" zoomScaleNormal="100" workbookViewId="0">
      <selection activeCell="F25" sqref="F25"/>
    </sheetView>
  </sheetViews>
  <sheetFormatPr baseColWidth="8" defaultColWidth="8.85546875" defaultRowHeight="15"/>
  <cols>
    <col width="16.42578125" customWidth="1" style="66" min="1" max="1"/>
    <col width="5.140625" customWidth="1" style="1" min="2" max="2"/>
    <col width="51.28515625" customWidth="1" style="1" min="3" max="3"/>
    <col width="9.7109375" customWidth="1" style="1" min="4" max="15"/>
    <col width="11.5703125" customWidth="1" style="1" min="16" max="16"/>
    <col width="8.85546875" customWidth="1" style="1" min="17" max="68"/>
    <col width="8.85546875" customWidth="1" style="1" min="69" max="16384"/>
  </cols>
  <sheetData>
    <row r="2">
      <c r="A2" s="172" t="e">
        <v>#VALUE!</v>
      </c>
      <c r="B2" s="220" t="n"/>
      <c r="C2" s="173" t="inlineStr">
        <is>
          <t>Melbourne Mobile Physio</t>
        </is>
      </c>
      <c r="D2" s="220" t="n"/>
      <c r="E2" s="220" t="n"/>
      <c r="F2" s="220" t="n"/>
      <c r="G2" s="220" t="n"/>
      <c r="H2" s="220" t="n"/>
      <c r="I2" s="220" t="n"/>
      <c r="J2" s="220" t="n"/>
      <c r="K2" s="220" t="n"/>
      <c r="L2" s="220" t="n"/>
      <c r="M2" s="220" t="n"/>
      <c r="N2" s="220" t="n"/>
      <c r="O2" s="220" t="n"/>
      <c r="P2" s="220" t="n"/>
    </row>
    <row r="3">
      <c r="B3" s="220" t="n"/>
      <c r="D3" s="220" t="n"/>
      <c r="E3" s="220" t="n"/>
      <c r="F3" s="220" t="n"/>
      <c r="G3" s="220" t="n"/>
      <c r="H3" s="220" t="n"/>
      <c r="I3" s="220" t="n"/>
      <c r="J3" s="220" t="n"/>
      <c r="K3" s="220" t="n"/>
      <c r="L3" s="220" t="n"/>
      <c r="M3" s="220" t="n"/>
      <c r="N3" s="220" t="n"/>
      <c r="O3" s="220" t="n"/>
      <c r="P3" s="220" t="n"/>
    </row>
    <row r="4">
      <c r="B4" s="220" t="n"/>
      <c r="D4" s="220" t="n"/>
      <c r="E4" s="220" t="n"/>
      <c r="F4" s="220" t="n"/>
      <c r="G4" s="220" t="n"/>
      <c r="H4" s="220" t="n"/>
      <c r="I4" s="220" t="n"/>
      <c r="J4" s="220" t="n"/>
      <c r="K4" s="220" t="n"/>
      <c r="L4" s="220" t="n"/>
      <c r="M4" s="220" t="n"/>
      <c r="N4" s="220" t="n"/>
      <c r="O4" s="220" t="n"/>
      <c r="P4" s="220" t="n"/>
    </row>
    <row r="5">
      <c r="B5" s="220" t="n"/>
      <c r="D5" s="220" t="n"/>
      <c r="E5" s="220" t="n"/>
      <c r="F5" s="220" t="n"/>
      <c r="G5" s="220" t="n"/>
      <c r="H5" s="220" t="n"/>
      <c r="I5" s="220" t="n"/>
      <c r="J5" s="220" t="n"/>
      <c r="K5" s="220" t="n"/>
      <c r="L5" s="220" t="n"/>
      <c r="M5" s="220" t="n"/>
      <c r="N5" s="220" t="n"/>
      <c r="O5" s="220" t="n"/>
      <c r="P5" s="220" t="n"/>
    </row>
    <row r="6">
      <c r="B6" s="220" t="n"/>
      <c r="D6" s="220" t="n"/>
      <c r="E6" s="220" t="n"/>
      <c r="F6" s="220" t="n"/>
      <c r="G6" s="220" t="n"/>
      <c r="H6" s="220" t="n"/>
      <c r="I6" s="220" t="n"/>
      <c r="J6" s="220" t="n"/>
      <c r="K6" s="220" t="n"/>
      <c r="L6" s="220" t="n"/>
      <c r="M6" s="220" t="n"/>
      <c r="N6" s="220" t="n"/>
      <c r="O6" s="220" t="n"/>
      <c r="P6" s="220" t="n"/>
    </row>
    <row r="7">
      <c r="B7" s="220" t="n"/>
      <c r="D7" s="220" t="n"/>
      <c r="E7" s="220" t="n"/>
      <c r="F7" s="220" t="n"/>
      <c r="G7" s="220" t="n"/>
      <c r="H7" s="220" t="n"/>
      <c r="I7" s="220" t="n"/>
      <c r="J7" s="220" t="n"/>
      <c r="K7" s="220" t="n"/>
      <c r="L7" s="220" t="n"/>
      <c r="M7" s="220" t="n"/>
      <c r="N7" s="220" t="n"/>
      <c r="O7" s="220" t="n"/>
      <c r="P7" s="220" t="n"/>
    </row>
    <row r="10" ht="15" customHeight="1">
      <c r="A10" s="170" t="inlineStr">
        <is>
          <t>South</t>
        </is>
      </c>
      <c r="B10" s="87" t="n"/>
      <c r="C10" s="3" t="inlineStr">
        <is>
          <t>Team Average</t>
        </is>
      </c>
      <c r="D10" s="88" t="inlineStr">
        <is>
          <t>Jan</t>
        </is>
      </c>
      <c r="E10" s="88" t="inlineStr">
        <is>
          <t>Feb</t>
        </is>
      </c>
      <c r="F10" s="88" t="inlineStr">
        <is>
          <t>Mar</t>
        </is>
      </c>
      <c r="G10" s="88" t="inlineStr">
        <is>
          <t>Apr</t>
        </is>
      </c>
      <c r="H10" s="88" t="inlineStr">
        <is>
          <t>May</t>
        </is>
      </c>
      <c r="I10" s="88" t="inlineStr">
        <is>
          <t>June</t>
        </is>
      </c>
      <c r="J10" s="88" t="inlineStr">
        <is>
          <t>July</t>
        </is>
      </c>
      <c r="K10" s="88" t="inlineStr">
        <is>
          <t>Aug</t>
        </is>
      </c>
      <c r="L10" s="88" t="inlineStr">
        <is>
          <t>Sept</t>
        </is>
      </c>
      <c r="M10" s="88" t="inlineStr">
        <is>
          <t>Oct</t>
        </is>
      </c>
      <c r="N10" s="88" t="inlineStr">
        <is>
          <t>Nov</t>
        </is>
      </c>
      <c r="O10" s="88" t="inlineStr">
        <is>
          <t>Dec</t>
        </is>
      </c>
      <c r="P10" s="7" t="inlineStr">
        <is>
          <t>Average</t>
        </is>
      </c>
    </row>
    <row r="11" ht="15" customHeight="1">
      <c r="B11" s="87" t="n"/>
      <c r="C11" s="2" t="inlineStr">
        <is>
          <t>Billings</t>
        </is>
      </c>
      <c r="D11" s="131">
        <f>IF(SUMIFS(FTETable[Jan], FTETable[Team], "Physio_South")=0, "",
    SUMIFS(FTETable[Jan], FTETable[Team], "Physio_South") /
    SUMIFS(FTETable[FTE], FTETable[Team], "Physio_South", FTETable[Jan], "&gt;0"))</f>
        <v/>
      </c>
      <c r="E11" s="131">
        <f>IF(SUMIFS(FTETable[Feb], FTETable[Team], "Physio_South")=0, "",
    SUMIFS(FTETable[Feb], FTETable[Team], "Physio_South") /
    SUMIFS(FTETable[FTE], FTETable[Team], "Physio_South", FTETable[Feb], "&gt;0"))</f>
        <v/>
      </c>
      <c r="F11" s="131">
        <f>IF(SUMIFS(FTETable[Mar], FTETable[Team], "Physio_South")=0, "",
    SUMIFS(FTETable[Mar], FTETable[Team], "Physio_South") /
    SUMIFS(FTETable[FTE], FTETable[Team], "Physio_South", FTETable[Mar], "&gt;0"))</f>
        <v/>
      </c>
      <c r="G11" s="135">
        <f>IF(SUMIFS(FTETable[Apr], FTETable[Team], "Physio_South")=0, "",
    SUMIFS(FTETable[Apr], FTETable[Team], "Physio_South") /
    SUMIFS(FTETable[FTE], FTETable[Team], "Physio_South", FTETable[Apr], "&gt;0"))</f>
        <v/>
      </c>
      <c r="H11" s="6">
        <f>IF(SUMIFS(FTETable[May], FTETable[Team], "Physio_South")=0, "",
    SUMIFS(FTETable[May], FTETable[Team], "Physio_South") /
    SUMIFS(FTETable[FTE], FTETable[Team], "Physio_South", FTETable[May], "&gt;0"))</f>
        <v/>
      </c>
      <c r="I11" s="6">
        <f>IF(SUMIFS(FTETable[June], FTETable[Team], "Physio_South")=0, "",
    SUMIFS(FTETable[June], FTETable[Team], "Physio_South") /
    SUMIFS(FTETable[FTE], FTETable[Team], "Physio_South", FTETable[June], "&gt;0"))</f>
        <v/>
      </c>
      <c r="J11" s="6">
        <f>IF(SUMIFS(FTETable[July], FTETable[Team], "Physio_South")=0, "",
    SUMIFS(FTETable[July], FTETable[Team], "Physio_South") /
    SUMIFS(FTETable[FTE], FTETable[Team], "Physio_South", FTETable[July], "&gt;0"))</f>
        <v/>
      </c>
      <c r="K11" s="6">
        <f>IF(SUMIFS(FTETable[Aug], FTETable[Team], "Physio_South")=0, "",
    SUMIFS(FTETable[Aug], FTETable[Team], "Physio_South") /
    SUMIFS(FTETable[FTE], FTETable[Team], "Physio_South", FTETable[Aug], "&gt;0"))</f>
        <v/>
      </c>
      <c r="L11" s="6">
        <f>IF(SUMIFS(FTETable[Sept], FTETable[Team], "Physio_South")=0, "",
    SUMIFS(FTETable[Sept], FTETable[Team], "Physio_South") /
    SUMIFS(FTETable[FTE], FTETable[Team], "Physio_South", FTETable[Sept], "&gt;0"))</f>
        <v/>
      </c>
      <c r="M11" s="6">
        <f>IF(SUMIFS(FTETable[Oct], FTETable[Team], "Physio_South")=0, "",
    SUMIFS(FTETable[Oct], FTETable[Team], "Physio_South") /
    SUMIFS(FTETable[FTE], FTETable[Team], "Physio_South", FTETable[Oct], "&gt;0"))</f>
        <v/>
      </c>
      <c r="N11" s="6">
        <f>IF(SUMIFS(FTETable[Nov], FTETable[Team], "Physio_South")=0, "",
    SUMIFS(FTETable[Nov], FTETable[Team], "Physio_South") /
    SUMIFS(FTETable[FTE], FTETable[Team], "Physio_South", FTETable[Nov], "&gt;0"))</f>
        <v/>
      </c>
      <c r="O11" s="6">
        <f>IF(SUMIFS(FTETable[Dec], FTETable[Team], "Physio_South")=0, "",
    SUMIFS(FTETable[Dec], FTETable[Team], "Physio_South") /
    SUMIFS(FTETable[FTE], FTETable[Team], "Physio_South", FTETable[Dec], "&gt;0"))</f>
        <v/>
      </c>
      <c r="P11" s="6">
        <f>IFERROR(AVERAGEIF(D11:O11, "&gt;0"),"")</f>
        <v/>
      </c>
    </row>
    <row r="12" ht="15" customHeight="1">
      <c r="B12" s="87" t="n"/>
      <c r="C12" s="2" t="inlineStr">
        <is>
          <t>Ceased Services</t>
        </is>
      </c>
      <c r="D12" s="69">
        <f>IFERROR(AVERAGE(Ceased_South[Jan]),"")</f>
        <v/>
      </c>
      <c r="E12" s="69">
        <f>IFERROR(AVERAGE(Ceased_South[Feb]),"")</f>
        <v/>
      </c>
      <c r="F12" s="69">
        <f>IFERROR(AVERAGE(Ceased_South[Mar]),"")</f>
        <v/>
      </c>
      <c r="G12" s="69">
        <f>IFERROR(AVERAGE(Ceased_South[Apr]),"")</f>
        <v/>
      </c>
      <c r="H12" s="69">
        <f>IFERROR(AVERAGE(Ceased_South[May]),"")</f>
        <v/>
      </c>
      <c r="I12" s="69">
        <f>IFERROR(AVERAGE(Ceased_South[June]),"")</f>
        <v/>
      </c>
      <c r="J12" s="69">
        <f>IFERROR(AVERAGE(Ceased_South[July]),"")</f>
        <v/>
      </c>
      <c r="K12" s="69">
        <f>IFERROR(AVERAGE(Ceased_South[Aug]),"")</f>
        <v/>
      </c>
      <c r="L12" s="69">
        <f>IFERROR(AVERAGE(Ceased_South[Sept]),"")</f>
        <v/>
      </c>
      <c r="M12" s="69">
        <f>IFERROR(AVERAGE(Ceased_South[Oct]),"")</f>
        <v/>
      </c>
      <c r="N12" s="69">
        <f>IFERROR(AVERAGE(Ceased_South[Nov]),"")</f>
        <v/>
      </c>
      <c r="O12" s="69">
        <f>IFERROR(AVERAGE(Ceased_South[Dec]),"")</f>
        <v/>
      </c>
      <c r="P12" s="69">
        <f>IFERROR(AVERAGEIF(D12:O12, "&gt;0"),"")</f>
        <v/>
      </c>
    </row>
    <row r="13" ht="15" customHeight="1">
      <c r="B13" s="87" t="n"/>
      <c r="C13" s="2" t="inlineStr">
        <is>
          <t>Documentation</t>
        </is>
      </c>
      <c r="D13" s="5">
        <f>IFERROR(AVERAGE(Documentation_South[Jan]),"")</f>
        <v/>
      </c>
      <c r="E13" s="5">
        <f>IFERROR(AVERAGE(Documentation_South[Feb]),"")</f>
        <v/>
      </c>
      <c r="F13" s="5">
        <f>IFERROR(AVERAGE(Documentation_South[Mar]),"")</f>
        <v/>
      </c>
      <c r="G13" s="5">
        <f>IFERROR(AVERAGE(Documentation_South[Apr]),"")</f>
        <v/>
      </c>
      <c r="H13" s="5">
        <f>IFERROR(AVERAGE(Documentation_South[May]),"")</f>
        <v/>
      </c>
      <c r="I13" s="5">
        <f>IFERROR(AVERAGE(Documentation_South[June]),"")</f>
        <v/>
      </c>
      <c r="J13" s="5">
        <f>IFERROR(AVERAGE(Documentation_South[July]),"")</f>
        <v/>
      </c>
      <c r="K13" s="5">
        <f>IFERROR(AVERAGE(Documentation_South[Aug]),"")</f>
        <v/>
      </c>
      <c r="L13" s="5">
        <f>IFERROR(AVERAGE(Documentation_South[Sept]),"")</f>
        <v/>
      </c>
      <c r="M13" s="5">
        <f>IFERROR(AVERAGE(Documentation_South[Oct]),"")</f>
        <v/>
      </c>
      <c r="N13" s="5">
        <f>IFERROR(AVERAGE(Documentation_South[Nov]),"")</f>
        <v/>
      </c>
      <c r="O13" s="5">
        <f>IFERROR(AVERAGE(Documentation_South[Dec]),"")</f>
        <v/>
      </c>
      <c r="P13" s="5">
        <f>IFERROR(AVERAGEIF(D13:O13, "&gt;0"),"")</f>
        <v/>
      </c>
    </row>
    <row r="14" ht="15" customHeight="1">
      <c r="B14" s="87" t="n"/>
      <c r="C14" s="2" t="inlineStr">
        <is>
          <t>Admin &amp; Operational Efficiency</t>
        </is>
      </c>
      <c r="D14" s="5">
        <f>IFERROR(AVERAGE(Admin_South[Jan]),"")</f>
        <v/>
      </c>
      <c r="E14" s="5">
        <f>IFERROR(AVERAGE(Admin_South[Feb]),"")</f>
        <v/>
      </c>
      <c r="F14" s="5">
        <f>IFERROR(AVERAGE(Admin_South[Mar]),"")</f>
        <v/>
      </c>
      <c r="G14" s="5">
        <f>IFERROR(AVERAGE(Admin_South[Apr]),"")</f>
        <v/>
      </c>
      <c r="H14" s="5">
        <f>IFERROR(AVERAGE(Admin_South[May]),"")</f>
        <v/>
      </c>
      <c r="I14" s="5">
        <f>IFERROR(AVERAGE(Admin_South[June]),"")</f>
        <v/>
      </c>
      <c r="J14" s="5">
        <f>IFERROR(AVERAGE(Admin_South[July]),"")</f>
        <v/>
      </c>
      <c r="K14" s="5">
        <f>IFERROR(AVERAGE(Admin_South[Aug]),"")</f>
        <v/>
      </c>
      <c r="L14" s="5">
        <f>IFERROR(AVERAGE(Admin_South[Sept]),"")</f>
        <v/>
      </c>
      <c r="M14" s="5">
        <f>IFERROR(AVERAGE(Admin_South[Oct]),"")</f>
        <v/>
      </c>
      <c r="N14" s="5">
        <f>IFERROR(AVERAGE(Admin_South[Nov]),"")</f>
        <v/>
      </c>
      <c r="O14" s="5">
        <f>IFERROR(AVERAGE(Admin_South[Dec]),"")</f>
        <v/>
      </c>
      <c r="P14" s="5">
        <f>IFERROR(AVERAGEIF(D14:O14, "&gt;0"),"")</f>
        <v/>
      </c>
    </row>
    <row r="15" ht="15" customHeight="1">
      <c r="B15" s="87" t="n"/>
      <c r="C15" s="4" t="inlineStr">
        <is>
          <t>Attitude, Learning, Collaboration &amp; Client Impact</t>
        </is>
      </c>
      <c r="D15" s="39">
        <f>IFERROR(AVERAGE(Attitude_South[Jan]),"")</f>
        <v/>
      </c>
      <c r="E15" s="39">
        <f>IFERROR(AVERAGE(Attitude_South[Feb]),"")</f>
        <v/>
      </c>
      <c r="F15" s="39">
        <f>IFERROR(AVERAGE(Attitude_South[Mar]),"")</f>
        <v/>
      </c>
      <c r="G15" s="39">
        <f>IFERROR(AVERAGE(Attitude_South[Apr]),"")</f>
        <v/>
      </c>
      <c r="H15" s="39">
        <f>IFERROR(AVERAGE(Attitude_South[May]),"")</f>
        <v/>
      </c>
      <c r="I15" s="39">
        <f>IFERROR(AVERAGE(Attitude_South[June]),"")</f>
        <v/>
      </c>
      <c r="J15" s="39">
        <f>IFERROR(AVERAGE(Attitude_South[July]),"")</f>
        <v/>
      </c>
      <c r="K15" s="39">
        <f>IFERROR(AVERAGE(Attitude_South[Aug]),"")</f>
        <v/>
      </c>
      <c r="L15" s="39">
        <f>IFERROR(AVERAGE(Attitude_South[Sept]),"")</f>
        <v/>
      </c>
      <c r="M15" s="39">
        <f>IFERROR(AVERAGE(Attitude_South[Oct]),"")</f>
        <v/>
      </c>
      <c r="N15" s="39">
        <f>IFERROR(AVERAGE(Attitude_South[Nov]),"")</f>
        <v/>
      </c>
      <c r="O15" s="39">
        <f>IFERROR(AVERAGE(Attitude_South[Dec]),"")</f>
        <v/>
      </c>
      <c r="P15" s="39">
        <f>IFERROR(AVERAGEIF(D15:O15, "&gt;0"),"")</f>
        <v/>
      </c>
    </row>
    <row r="16" ht="26.25" customHeight="1">
      <c r="A16" s="219" t="n"/>
      <c r="B16" s="171" t="n"/>
      <c r="C16" s="220" t="n"/>
      <c r="D16" s="220" t="n"/>
      <c r="E16" s="220" t="n"/>
      <c r="F16" s="220" t="n"/>
      <c r="G16" s="220" t="n"/>
      <c r="H16" s="220" t="n"/>
      <c r="I16" s="220" t="n"/>
      <c r="J16" s="220" t="n"/>
      <c r="K16" s="220" t="n"/>
      <c r="L16" s="220" t="n"/>
      <c r="M16" s="220" t="n"/>
      <c r="N16" s="220" t="n"/>
      <c r="O16" s="220" t="n"/>
      <c r="P16" s="220" t="n"/>
    </row>
    <row r="17" ht="14.45" customHeight="1">
      <c r="A17" s="170" t="inlineStr">
        <is>
          <t>North</t>
        </is>
      </c>
      <c r="B17" s="171" t="n"/>
      <c r="C17" s="3" t="inlineStr">
        <is>
          <t>Team Average</t>
        </is>
      </c>
      <c r="D17" s="88" t="inlineStr">
        <is>
          <t>Jan</t>
        </is>
      </c>
      <c r="E17" s="88" t="inlineStr">
        <is>
          <t>Feb</t>
        </is>
      </c>
      <c r="F17" s="88" t="inlineStr">
        <is>
          <t>Mar</t>
        </is>
      </c>
      <c r="G17" s="88" t="inlineStr">
        <is>
          <t>Apr</t>
        </is>
      </c>
      <c r="H17" s="88" t="inlineStr">
        <is>
          <t>May</t>
        </is>
      </c>
      <c r="I17" s="88" t="inlineStr">
        <is>
          <t>June</t>
        </is>
      </c>
      <c r="J17" s="88" t="inlineStr">
        <is>
          <t>July</t>
        </is>
      </c>
      <c r="K17" s="88" t="inlineStr">
        <is>
          <t>Aug</t>
        </is>
      </c>
      <c r="L17" s="88" t="inlineStr">
        <is>
          <t>Sept</t>
        </is>
      </c>
      <c r="M17" s="88" t="inlineStr">
        <is>
          <t>Oct</t>
        </is>
      </c>
      <c r="N17" s="88" t="inlineStr">
        <is>
          <t>Nov</t>
        </is>
      </c>
      <c r="O17" s="88" t="inlineStr">
        <is>
          <t>Dec</t>
        </is>
      </c>
      <c r="P17" s="7" t="inlineStr">
        <is>
          <t>Average</t>
        </is>
      </c>
    </row>
    <row r="18">
      <c r="C18" s="2" t="inlineStr">
        <is>
          <t>Billings</t>
        </is>
      </c>
      <c r="D18" s="131">
        <f>IF(SUMIFS(FTETable[Jan], FTETable[Team], "Physio_North")=0, "",
    SUMIFS(FTETable[Jan], FTETable[Team], "Physio_North") /
    SUMIFS(FTETable[FTE], FTETable[Team], "Physio_North", FTETable[Jan], "&gt;0"))</f>
        <v/>
      </c>
      <c r="E18" s="131">
        <f>IF(SUMIFS(FTETable[Feb], FTETable[Team], "Physio_North")=0, "",
    SUMIFS(FTETable[Feb], FTETable[Team], "Physio_North") /
    SUMIFS(FTETable[FTE], FTETable[Team], "Physio_North", FTETable[Feb], "&gt;0"))</f>
        <v/>
      </c>
      <c r="F18" s="131">
        <f>IF(SUMIFS(FTETable[Mar], FTETable[Team], "Physio_North")=0, "",
    SUMIFS(FTETable[Mar], FTETable[Team], "Physio_North") /
    SUMIFS(FTETable[FTE], FTETable[Team], "Physio_North", FTETable[Mar], "&gt;0"))</f>
        <v/>
      </c>
      <c r="G18" s="131">
        <f>IF(SUMIFS(FTETable[Apr], FTETable[Team], "Physio_North")=0, "",
    SUMIFS(FTETable[Apr], FTETable[Team], "Physio_North") /
    SUMIFS(FTETable[FTE], FTETable[Team], "Physio_North", FTETable[Apr], "&gt;0"))</f>
        <v/>
      </c>
      <c r="H18" s="6">
        <f>IF(SUMIFS(FTETable[May], FTETable[Team], "Physio_North")=0, "",
    SUMIFS(FTETable[May], FTETable[Team], "Physio_North") /
    SUMIFS(FTETable[FTE], FTETable[Team], "Physio_North", FTETable[May], "&gt;0"))</f>
        <v/>
      </c>
      <c r="I18" s="6">
        <f>IF(SUMIFS(FTETable[June], FTETable[Team], "Physio_North")=0, "",
    SUMIFS(FTETable[June], FTETable[Team], "Physio_North") /
    SUMIFS(FTETable[FTE], FTETable[Team], "Physio_North", FTETable[June], "&gt;0"))</f>
        <v/>
      </c>
      <c r="J18" s="6">
        <f>IF(SUMIFS(FTETable[July], FTETable[Team], "Physio_North")=0, "",
    SUMIFS(FTETable[July], FTETable[Team], "Physio_North") /
    SUMIFS(FTETable[FTE], FTETable[Team], "Physio_North", FTETable[July], "&gt;0"))</f>
        <v/>
      </c>
      <c r="K18" s="6">
        <f>IF(SUMIFS(FTETable[Aug], FTETable[Team], "Physio_North")=0, "",
    SUMIFS(FTETable[Aug], FTETable[Team], "Physio_North") /
    SUMIFS(FTETable[FTE], FTETable[Team], "Physio_North", FTETable[Aug], "&gt;0"))</f>
        <v/>
      </c>
      <c r="L18" s="6">
        <f>IF(SUMIFS(FTETable[Sept], FTETable[Team], "Physio_North")=0, "",
    SUMIFS(FTETable[Sept], FTETable[Team], "Physio_North") /
    SUMIFS(FTETable[FTE], FTETable[Team], "Physio_North", FTETable[Sept], "&gt;0"))</f>
        <v/>
      </c>
      <c r="M18" s="6">
        <f>IF(SUMIFS(FTETable[Oct], FTETable[Team], "Physio_North")=0, "",
    SUMIFS(FTETable[Oct], FTETable[Team], "Physio_North") /
    SUMIFS(FTETable[FTE], FTETable[Team], "Physio_North", FTETable[Oct], "&gt;0"))</f>
        <v/>
      </c>
      <c r="N18" s="6">
        <f>IF(SUMIFS(FTETable[Nov], FTETable[Team], "Physio_North")=0, "",
    SUMIFS(FTETable[Nov], FTETable[Team], "Physio_North") /
    SUMIFS(FTETable[FTE], FTETable[Team], "Physio_North", FTETable[Nov], "&gt;0"))</f>
        <v/>
      </c>
      <c r="O18" s="6">
        <f>IF(SUMIFS(FTETable[Dec], FTETable[Team], "Physio_North")=0, "",
    SUMIFS(FTETable[Dec], FTETable[Team], "Physio_North") /
    SUMIFS(FTETable[FTE], FTETable[Team], "Physio_North", FTETable[Dec], "&gt;0"))</f>
        <v/>
      </c>
      <c r="P18" s="6">
        <f>IFERROR(AVERAGEIF(D18:O18, "&gt;0"),"")</f>
        <v/>
      </c>
    </row>
    <row r="19">
      <c r="C19" s="2" t="inlineStr">
        <is>
          <t>Ceased Services</t>
        </is>
      </c>
      <c r="D19" s="69">
        <f>IFERROR(AVERAGE(Ceased_North[Jan]),"")</f>
        <v/>
      </c>
      <c r="E19" s="69">
        <f>IFERROR(AVERAGE(Ceased_North[Feb]),"")</f>
        <v/>
      </c>
      <c r="F19" s="69">
        <f>IFERROR(AVERAGE(Ceased_North[Mar]),"")</f>
        <v/>
      </c>
      <c r="G19" s="69">
        <f>IFERROR(AVERAGE(Ceased_North[Apr]),"")</f>
        <v/>
      </c>
      <c r="H19" s="69">
        <f>IFERROR(AVERAGE(Ceased_North[May]),"")</f>
        <v/>
      </c>
      <c r="I19" s="69">
        <f>IFERROR(AVERAGE(Ceased_North[June]),"")</f>
        <v/>
      </c>
      <c r="J19" s="69">
        <f>IFERROR(AVERAGE(Ceased_North[July]),"")</f>
        <v/>
      </c>
      <c r="K19" s="69">
        <f>IFERROR(AVERAGE(Ceased_North[Aug]),"")</f>
        <v/>
      </c>
      <c r="L19" s="69">
        <f>IFERROR(AVERAGE(Ceased_North[Sept]),"")</f>
        <v/>
      </c>
      <c r="M19" s="69">
        <f>IFERROR(AVERAGE(Ceased_North[Oct]),"")</f>
        <v/>
      </c>
      <c r="N19" s="69">
        <f>IFERROR(AVERAGE(Ceased_North[Nov]),"")</f>
        <v/>
      </c>
      <c r="O19" s="69">
        <f>IFERROR(AVERAGE(Ceased_North[Dec]),"")</f>
        <v/>
      </c>
      <c r="P19" s="69">
        <f>IFERROR(AVERAGEIF(D19:O19, "&gt;0"),"")</f>
        <v/>
      </c>
    </row>
    <row r="20">
      <c r="C20" s="2" t="inlineStr">
        <is>
          <t>Documentation</t>
        </is>
      </c>
      <c r="D20" s="5">
        <f>IFERROR(AVERAGE(Documentation_North[Jan]),"")</f>
        <v/>
      </c>
      <c r="E20" s="5">
        <f>IFERROR(AVERAGE(Documentation_North[Feb]),"")</f>
        <v/>
      </c>
      <c r="F20" s="5">
        <f>IFERROR(AVERAGE(Documentation_North[Mar]),"")</f>
        <v/>
      </c>
      <c r="G20" s="5">
        <f>IFERROR(AVERAGE(Documentation_North[Apr]),"")</f>
        <v/>
      </c>
      <c r="H20" s="5">
        <f>IFERROR(AVERAGE(Documentation_North[May]),"")</f>
        <v/>
      </c>
      <c r="I20" s="5">
        <f>IFERROR(AVERAGE(Documentation_North[June]),"")</f>
        <v/>
      </c>
      <c r="J20" s="5">
        <f>IFERROR(AVERAGE(Documentation_North[July]),"")</f>
        <v/>
      </c>
      <c r="K20" s="5">
        <f>IFERROR(AVERAGE(Documentation_North[Aug]),"")</f>
        <v/>
      </c>
      <c r="L20" s="5">
        <f>IFERROR(AVERAGE(Documentation_North[Sept]),"")</f>
        <v/>
      </c>
      <c r="M20" s="5">
        <f>IFERROR(AVERAGE(Documentation_North[Oct]),"")</f>
        <v/>
      </c>
      <c r="N20" s="5">
        <f>IFERROR(AVERAGE(Documentation_North[Nov]),"")</f>
        <v/>
      </c>
      <c r="O20" s="5">
        <f>IFERROR(AVERAGE(Documentation_North[Dec]),"")</f>
        <v/>
      </c>
      <c r="P20" s="5">
        <f>IFERROR(AVERAGEIF(D20:O20, "&gt;0"),"")</f>
        <v/>
      </c>
    </row>
    <row r="21">
      <c r="C21" s="2" t="inlineStr">
        <is>
          <t>Admin &amp; Operational Efficiency</t>
        </is>
      </c>
      <c r="D21" s="5">
        <f>IFERROR(AVERAGE(Admin_North[Jan]),"")</f>
        <v/>
      </c>
      <c r="E21" s="5">
        <f>IFERROR(AVERAGE(Admin_North[Feb]),"")</f>
        <v/>
      </c>
      <c r="F21" s="5">
        <f>IFERROR(AVERAGE(Admin_North[Mar]),"")</f>
        <v/>
      </c>
      <c r="G21" s="5">
        <f>IFERROR(AVERAGE(Admin_North[Apr]),"")</f>
        <v/>
      </c>
      <c r="H21" s="5">
        <f>IFERROR(AVERAGE(Admin_North[May]),"")</f>
        <v/>
      </c>
      <c r="I21" s="5">
        <f>IFERROR(AVERAGE(Admin_North[June]),"")</f>
        <v/>
      </c>
      <c r="J21" s="5">
        <f>IFERROR(AVERAGE(Admin_North[July]),"")</f>
        <v/>
      </c>
      <c r="K21" s="5">
        <f>IFERROR(AVERAGE(Admin_North[Aug]),"")</f>
        <v/>
      </c>
      <c r="L21" s="5">
        <f>IFERROR(AVERAGE(Admin_North[Sept]),"")</f>
        <v/>
      </c>
      <c r="M21" s="5">
        <f>IFERROR(AVERAGE(Admin_North[Oct]),"")</f>
        <v/>
      </c>
      <c r="N21" s="5">
        <f>IFERROR(AVERAGE(Admin_North[Nov]),"")</f>
        <v/>
      </c>
      <c r="O21" s="5">
        <f>IFERROR(AVERAGE(Admin_North[Dec]),"")</f>
        <v/>
      </c>
      <c r="P21" s="5">
        <f>IFERROR(AVERAGEIF(D21:O21, "&gt;0"),"")</f>
        <v/>
      </c>
    </row>
    <row r="22">
      <c r="C22" s="4" t="inlineStr">
        <is>
          <t>Attitude, Learning, Collaboration &amp; Client Impact</t>
        </is>
      </c>
      <c r="D22" s="39">
        <f>IFERROR(AVERAGE(Attitude_North[Jan]),"")</f>
        <v/>
      </c>
      <c r="E22" s="39">
        <f>IFERROR(AVERAGE(Attitude_North[Feb]),"")</f>
        <v/>
      </c>
      <c r="F22" s="39">
        <f>IFERROR(AVERAGE(Attitude_North[Mar]),"")</f>
        <v/>
      </c>
      <c r="G22" s="39">
        <f>IFERROR(AVERAGE(Attitude_North[Apr]),"")</f>
        <v/>
      </c>
      <c r="H22" s="39">
        <f>IFERROR(AVERAGE(Attitude_North[May]),"")</f>
        <v/>
      </c>
      <c r="I22" s="39">
        <f>IFERROR(AVERAGE(Attitude_North[June]),"")</f>
        <v/>
      </c>
      <c r="J22" s="39">
        <f>IFERROR(AVERAGE(Attitude_North[July]),"")</f>
        <v/>
      </c>
      <c r="K22" s="39">
        <f>IFERROR(AVERAGE(Attitude_North[Aug]),"")</f>
        <v/>
      </c>
      <c r="L22" s="39">
        <f>IFERROR(AVERAGE(Attitude_North[Sept]),"")</f>
        <v/>
      </c>
      <c r="M22" s="39">
        <f>IFERROR(AVERAGE(Attitude_North[Oct]),"")</f>
        <v/>
      </c>
      <c r="N22" s="39">
        <f>IFERROR(AVERAGE(Attitude_North[Nov]),"")</f>
        <v/>
      </c>
      <c r="O22" s="39">
        <f>IFERROR(AVERAGE(Attitude_North[Dec]),"")</f>
        <v/>
      </c>
      <c r="P22" s="39">
        <f>IFERROR(AVERAGEIF(D22:O22, "&gt;0"),"")</f>
        <v/>
      </c>
    </row>
    <row r="23" ht="26.25" customHeight="1">
      <c r="A23" s="219" t="n"/>
      <c r="B23" s="171" t="n"/>
      <c r="C23" s="220" t="n"/>
      <c r="D23" s="220" t="n"/>
      <c r="E23" s="220" t="n"/>
      <c r="F23" s="220" t="n"/>
      <c r="G23" s="220" t="n"/>
      <c r="H23" s="220" t="n"/>
      <c r="I23" s="220" t="n"/>
      <c r="J23" s="220" t="n"/>
      <c r="K23" s="220" t="n"/>
      <c r="L23" s="220" t="n"/>
      <c r="M23" s="220" t="n"/>
      <c r="N23" s="220" t="n"/>
      <c r="O23" s="220" t="n"/>
      <c r="P23" s="220" t="n"/>
    </row>
    <row r="24" ht="14.45" customHeight="1">
      <c r="A24" s="170" t="inlineStr">
        <is>
          <t>OT</t>
        </is>
      </c>
      <c r="B24" s="171" t="n"/>
      <c r="C24" s="3" t="inlineStr">
        <is>
          <t>Team Average</t>
        </is>
      </c>
      <c r="D24" s="88" t="inlineStr">
        <is>
          <t>Jan</t>
        </is>
      </c>
      <c r="E24" s="88" t="inlineStr">
        <is>
          <t>Feb</t>
        </is>
      </c>
      <c r="F24" s="88" t="inlineStr">
        <is>
          <t>Mar</t>
        </is>
      </c>
      <c r="G24" s="88" t="inlineStr">
        <is>
          <t>Apr</t>
        </is>
      </c>
      <c r="H24" s="88" t="inlineStr">
        <is>
          <t>May</t>
        </is>
      </c>
      <c r="I24" s="88" t="inlineStr">
        <is>
          <t>June</t>
        </is>
      </c>
      <c r="J24" s="88" t="inlineStr">
        <is>
          <t>July</t>
        </is>
      </c>
      <c r="K24" s="88" t="inlineStr">
        <is>
          <t>Aug</t>
        </is>
      </c>
      <c r="L24" s="88" t="inlineStr">
        <is>
          <t>Sept</t>
        </is>
      </c>
      <c r="M24" s="88" t="inlineStr">
        <is>
          <t>Oct</t>
        </is>
      </c>
      <c r="N24" s="88" t="inlineStr">
        <is>
          <t>Nov</t>
        </is>
      </c>
      <c r="O24" s="88" t="inlineStr">
        <is>
          <t>Dec</t>
        </is>
      </c>
      <c r="P24" s="7" t="inlineStr">
        <is>
          <t>Average</t>
        </is>
      </c>
    </row>
    <row r="25">
      <c r="C25" s="2" t="inlineStr">
        <is>
          <t>Billings</t>
        </is>
      </c>
      <c r="D25" s="131">
        <f>IF(SUMIFS(FTETable[Jan], FTETable[Team], "OT")=0, "",
    SUMIFS(FTETable[Jan], FTETable[Team], "OT") /
    SUMIFS(FTETable[FTE], FTETable[Team], "OT", FTETable[Jan], "&gt;0"))</f>
        <v/>
      </c>
      <c r="E25" s="131">
        <f>IF(SUMIFS(FTETable[Feb], FTETable[Team], "OT")=0, "",
    SUMIFS(FTETable[Feb], FTETable[Team], "OT") /
    SUMIFS(FTETable[FTE], FTETable[Team], "OT", FTETable[Feb], "&gt;0"))</f>
        <v/>
      </c>
      <c r="F25" s="131">
        <f>IF(SUMIFS(FTETable[Mar], FTETable[Team], "OT")=0, "",
    SUMIFS(FTETable[Mar], FTETable[Team], "OT") /
    SUMIFS(FTETable[FTE], FTETable[Team], "OT", FTETable[Mar], "&gt;0"))</f>
        <v/>
      </c>
      <c r="G25" s="131">
        <f>IF(SUMIFS(FTETable[Apr], FTETable[Team], "OT")=0, "",
    SUMIFS(FTETable[Apr], FTETable[Team], "OT") /
    SUMIFS(FTETable[FTE], FTETable[Team], "OT", FTETable[Apr], "&gt;0"))</f>
        <v/>
      </c>
      <c r="H25" s="6">
        <f>IF(SUMIFS(FTETable[May], FTETable[Team], "OT")=0, "",
    SUMIFS(FTETable[May], FTETable[Team], "OT") /
    SUMIFS(FTETable[FTE], FTETable[Team], "OT", FTETable[May], "&gt;0"))</f>
        <v/>
      </c>
      <c r="I25" s="6">
        <f>IF(SUMIFS(FTETable[June], FTETable[Team], "OT")=0, "",
    SUMIFS(FTETable[June], FTETable[Team], "OT") /
    SUMIFS(FTETable[FTE], FTETable[Team], "OT", FTETable[June], "&gt;0"))</f>
        <v/>
      </c>
      <c r="J25" s="6">
        <f>IF(SUMIFS(FTETable[July], FTETable[Team], "OT")=0, "",
    SUMIFS(FTETable[July], FTETable[Team], "OT") /
    SUMIFS(FTETable[FTE], FTETable[Team], "OT", FTETable[July], "&gt;0"))</f>
        <v/>
      </c>
      <c r="K25" s="6">
        <f>IF(SUMIFS(FTETable[Aug], FTETable[Team], "OT")=0, "",
    SUMIFS(FTETable[Aug], FTETable[Team], "OT") /
    SUMIFS(FTETable[FTE], FTETable[Team], "OT", FTETable[Aug], "&gt;0"))</f>
        <v/>
      </c>
      <c r="L25" s="6">
        <f>IF(SUMIFS(FTETable[Sept], FTETable[Team], "OT")=0, "",
    SUMIFS(FTETable[Sept], FTETable[Team], "OT") /
    SUMIFS(FTETable[FTE], FTETable[Team], "OT", FTETable[Sept], "&gt;0"))</f>
        <v/>
      </c>
      <c r="M25" s="6">
        <f>IF(SUMIFS(FTETable[Oct], FTETable[Team], "OT")=0, "",
    SUMIFS(FTETable[Oct], FTETable[Team], "OT") /
    SUMIFS(FTETable[FTE], FTETable[Team], "OT", FTETable[Oct], "&gt;0"))</f>
        <v/>
      </c>
      <c r="N25" s="6">
        <f>IF(SUMIFS(FTETable[Nov], FTETable[Team], "OT")=0, "",
    SUMIFS(FTETable[Nov], FTETable[Team], "OT") /
    SUMIFS(FTETable[FTE], FTETable[Team], "OT", FTETable[Nov], "&gt;0"))</f>
        <v/>
      </c>
      <c r="O25" s="6">
        <f>IF(SUMIFS(FTETable[Dec], FTETable[Team], "OT")=0, "",
    SUMIFS(FTETable[Dec], FTETable[Team], "OT") /
    SUMIFS(FTETable[FTE], FTETable[Team], "OT", FTETable[Dec], "&gt;0"))</f>
        <v/>
      </c>
      <c r="P25" s="6">
        <f>IFERROR(AVERAGEIF(D25:O25, "&gt;0"),"")</f>
        <v/>
      </c>
    </row>
    <row r="26">
      <c r="C26" s="2" t="inlineStr">
        <is>
          <t>Operational Efficiency, Compliance &amp; Admin Responsiveness</t>
        </is>
      </c>
      <c r="D26" s="5">
        <f>IFERROR(AVERAGE(Compliance_OT[Jan]),"")</f>
        <v/>
      </c>
      <c r="E26" s="5">
        <f>IFERROR(AVERAGE(Compliance_OT[Feb]),"")</f>
        <v/>
      </c>
      <c r="F26" s="5">
        <f>IFERROR(AVERAGE(Compliance_OT[Mar]),"")</f>
        <v/>
      </c>
      <c r="G26" s="5">
        <f>IFERROR(AVERAGE(Compliance_OT[Apr]),"")</f>
        <v/>
      </c>
      <c r="H26" s="5">
        <f>IFERROR(AVERAGE(Compliance_OT[May]),"")</f>
        <v/>
      </c>
      <c r="I26" s="5">
        <f>IFERROR(AVERAGE(Compliance_OT[June]),"")</f>
        <v/>
      </c>
      <c r="J26" s="5">
        <f>IFERROR(AVERAGE(Compliance_OT[July]),"")</f>
        <v/>
      </c>
      <c r="K26" s="5">
        <f>IFERROR(AVERAGE(Compliance_OT[Aug]),"")</f>
        <v/>
      </c>
      <c r="L26" s="5">
        <f>IFERROR(AVERAGE(Compliance_OT[Sept]),"")</f>
        <v/>
      </c>
      <c r="M26" s="5">
        <f>IFERROR(AVERAGE(Compliance_OT[Oct]),"")</f>
        <v/>
      </c>
      <c r="N26" s="5">
        <f>IFERROR(AVERAGE(Compliance_OT[Nov]),"")</f>
        <v/>
      </c>
      <c r="O26" s="5">
        <f>IFERROR(AVERAGE(Compliance_OT[Dec]),"")</f>
        <v/>
      </c>
      <c r="P26" s="5">
        <f>IFERROR(AVERAGEIF(D26:O26, "&gt;0"),"")</f>
        <v/>
      </c>
    </row>
    <row r="27">
      <c r="C27" s="2" t="inlineStr">
        <is>
          <t>Client &amp; Referrer Satisfaction</t>
        </is>
      </c>
      <c r="D27" s="5">
        <f>IFERROR(AVERAGE(ReferrerEng_OT[Jan]),"")</f>
        <v/>
      </c>
      <c r="E27" s="5">
        <f>IFERROR(AVERAGE(ReferrerEng_OT[Feb]),"")</f>
        <v/>
      </c>
      <c r="F27" s="5">
        <f>IFERROR(AVERAGE(ReferrerEng_OT[Mar]),"")</f>
        <v/>
      </c>
      <c r="G27" s="5">
        <f>IFERROR(AVERAGE(ReferrerEng_OT[Apr]),"")</f>
        <v/>
      </c>
      <c r="H27" s="5">
        <f>IFERROR(AVERAGE(ReferrerEng_OT[May]),"")</f>
        <v/>
      </c>
      <c r="I27" s="5">
        <f>IFERROR(AVERAGE(ReferrerEng_OT[June]),"")</f>
        <v/>
      </c>
      <c r="J27" s="5">
        <f>IFERROR(AVERAGE(ReferrerEng_OT[July]),"")</f>
        <v/>
      </c>
      <c r="K27" s="5">
        <f>IFERROR(AVERAGE(ReferrerEng_OT[Aug]),"")</f>
        <v/>
      </c>
      <c r="L27" s="5">
        <f>IFERROR(AVERAGE(ReferrerEng_OT[Sept]),"")</f>
        <v/>
      </c>
      <c r="M27" s="5">
        <f>IFERROR(AVERAGE(ReferrerEng_OT[Oct]),"")</f>
        <v/>
      </c>
      <c r="N27" s="5">
        <f>IFERROR(AVERAGE(ReferrerEng_OT[Nov]),"")</f>
        <v/>
      </c>
      <c r="O27" s="5">
        <f>IFERROR(AVERAGE(ReferrerEng_OT[Dec]),"")</f>
        <v/>
      </c>
      <c r="P27" s="5">
        <f>IFERROR(AVERAGEIF(D27:O27, "&gt;0"),"")</f>
        <v/>
      </c>
    </row>
    <row r="28">
      <c r="C28" s="2" t="inlineStr">
        <is>
          <t>Capacity Building &amp; Use of NDIS Funding</t>
        </is>
      </c>
      <c r="D28" s="5">
        <f>IFERROR(AVERAGE(Capacity_OT[Jan]),"")</f>
        <v/>
      </c>
      <c r="E28" s="5">
        <f>IFERROR(AVERAGE(Capacity_OT[Feb]),"")</f>
        <v/>
      </c>
      <c r="F28" s="5">
        <f>IFERROR(AVERAGE(Capacity_OT[Mar]),"")</f>
        <v/>
      </c>
      <c r="G28" s="5">
        <f>IFERROR(AVERAGE(Capacity_OT[Apr]),"")</f>
        <v/>
      </c>
      <c r="H28" s="5">
        <f>IFERROR(AVERAGE(Capacity_OT[May]),"")</f>
        <v/>
      </c>
      <c r="I28" s="5">
        <f>IFERROR(AVERAGE(Capacity_OT[June]),"")</f>
        <v/>
      </c>
      <c r="J28" s="5">
        <f>IFERROR(AVERAGE(Capacity_OT[July]),"")</f>
        <v/>
      </c>
      <c r="K28" s="5">
        <f>IFERROR(AVERAGE(Capacity_OT[Aug]),"")</f>
        <v/>
      </c>
      <c r="L28" s="5">
        <f>IFERROR(AVERAGE(Capacity_OT[Sept]),"")</f>
        <v/>
      </c>
      <c r="M28" s="5">
        <f>IFERROR(AVERAGE(Capacity_OT[Oct]),"")</f>
        <v/>
      </c>
      <c r="N28" s="5">
        <f>IFERROR(AVERAGE(Capacity_OT[Nov]),"")</f>
        <v/>
      </c>
      <c r="O28" s="5">
        <f>IFERROR(AVERAGE(Capacity_OT[Dec]),"")</f>
        <v/>
      </c>
      <c r="P28" s="5">
        <f>IFERROR(AVERAGEIF(D28:O28, "&gt;0"),"")</f>
        <v/>
      </c>
    </row>
    <row r="29">
      <c r="C29" s="4" t="inlineStr">
        <is>
          <t>Team Contribution, Attitude &amp; Clinical Growth</t>
        </is>
      </c>
      <c r="D29" s="39">
        <f>IFERROR(AVERAGE(Attitude_OT[Jan]),"")</f>
        <v/>
      </c>
      <c r="E29" s="39">
        <f>IFERROR(AVERAGE(Attitude_OT[Feb]),"")</f>
        <v/>
      </c>
      <c r="F29" s="39">
        <f>IFERROR(AVERAGE(Attitude_OT[Mar]),"")</f>
        <v/>
      </c>
      <c r="G29" s="39">
        <f>IFERROR(AVERAGE(Attitude_OT[Apr]),"")</f>
        <v/>
      </c>
      <c r="H29" s="39">
        <f>IFERROR(AVERAGE(Attitude_OT[May]),"")</f>
        <v/>
      </c>
      <c r="I29" s="39">
        <f>IFERROR(AVERAGE(Attitude_OT[June]),"")</f>
        <v/>
      </c>
      <c r="J29" s="39">
        <f>IFERROR(AVERAGE(Attitude_OT[July]),"")</f>
        <v/>
      </c>
      <c r="K29" s="39">
        <f>IFERROR(AVERAGE(Attitude_OT[Aug]),"")</f>
        <v/>
      </c>
      <c r="L29" s="39">
        <f>IFERROR(AVERAGE(Attitude_OT[Sept]),"")</f>
        <v/>
      </c>
      <c r="M29" s="39">
        <f>IFERROR(AVERAGE(Attitude_OT[Oct]),"")</f>
        <v/>
      </c>
      <c r="N29" s="39">
        <f>IFERROR(AVERAGE(Attitude_OT[Nov]),"")</f>
        <v/>
      </c>
      <c r="O29" s="39">
        <f>IFERROR(AVERAGE(Attitude_OT[Dec]),"")</f>
        <v/>
      </c>
      <c r="P29" s="39">
        <f>IFERROR(AVERAGEIF(D29:O29, "&gt;0"),"")</f>
        <v/>
      </c>
    </row>
    <row r="31">
      <c r="A31" s="219" t="n"/>
      <c r="B31" s="220" t="n"/>
      <c r="C31" s="89" t="n"/>
      <c r="D31" s="174" t="inlineStr">
        <is>
          <t>TEAM KPI'S</t>
        </is>
      </c>
      <c r="E31" s="221" t="n"/>
      <c r="F31" s="221" t="n"/>
      <c r="G31" s="221" t="n"/>
      <c r="H31" s="222" t="n"/>
      <c r="I31" s="89" t="n"/>
      <c r="J31" s="220" t="n"/>
      <c r="K31" s="220" t="n"/>
      <c r="L31" s="220" t="n"/>
      <c r="M31" s="220" t="n"/>
      <c r="N31" s="220" t="n"/>
      <c r="O31" s="220" t="n"/>
      <c r="P31" s="220" t="n"/>
    </row>
    <row r="32">
      <c r="A32" s="219" t="n"/>
      <c r="B32" s="220" t="n"/>
      <c r="C32" s="84" t="inlineStr">
        <is>
          <t>Role</t>
        </is>
      </c>
      <c r="D32" s="9" t="inlineStr">
        <is>
          <t>Below</t>
        </is>
      </c>
      <c r="E32" s="18" t="inlineStr">
        <is>
          <t>Good</t>
        </is>
      </c>
      <c r="F32" s="18" t="inlineStr">
        <is>
          <t>Excellent</t>
        </is>
      </c>
      <c r="G32" s="90" t="n"/>
      <c r="H32" s="90" t="n"/>
      <c r="I32" s="91" t="n"/>
      <c r="J32" s="220" t="n"/>
      <c r="K32" s="220" t="n"/>
      <c r="L32" s="220" t="n"/>
      <c r="M32" s="220" t="n"/>
      <c r="N32" s="220" t="n"/>
      <c r="O32" s="220" t="n"/>
      <c r="P32" s="220" t="n"/>
    </row>
    <row r="33">
      <c r="C33" s="83" t="inlineStr">
        <is>
          <t>Physiotherapists</t>
        </is>
      </c>
      <c r="D33" s="77" t="inlineStr">
        <is>
          <t xml:space="preserve">&lt;5 </t>
        </is>
      </c>
      <c r="E33" s="78" t="inlineStr">
        <is>
          <t xml:space="preserve">5-5.4 </t>
        </is>
      </c>
      <c r="F33" s="79" t="inlineStr">
        <is>
          <t xml:space="preserve">&gt;5.4 </t>
        </is>
      </c>
      <c r="G33" s="80" t="n"/>
      <c r="H33" s="81" t="n"/>
      <c r="I33" s="33" t="n"/>
    </row>
    <row r="34">
      <c r="C34" s="70" t="inlineStr">
        <is>
          <t>Occupational Therapists</t>
        </is>
      </c>
      <c r="D34" s="22" t="inlineStr">
        <is>
          <t>&lt;4.3</t>
        </is>
      </c>
      <c r="E34" s="24" t="inlineStr">
        <is>
          <t>4.3-4.9</t>
        </is>
      </c>
      <c r="F34" s="26" t="inlineStr">
        <is>
          <t>&gt;4.9</t>
        </is>
      </c>
      <c r="G34" s="90" t="n"/>
      <c r="H34" s="71" t="n"/>
      <c r="I34" s="33" t="n"/>
    </row>
    <row r="35">
      <c r="C35" s="169" t="inlineStr">
        <is>
          <t xml:space="preserve">Other KPI's </t>
        </is>
      </c>
      <c r="D35" s="176" t="inlineStr">
        <is>
          <t>Unsatisfactory</t>
        </is>
      </c>
      <c r="E35" s="176" t="inlineStr">
        <is>
          <t>Needs improvement</t>
        </is>
      </c>
      <c r="F35" s="176" t="inlineStr">
        <is>
          <t>In progress</t>
        </is>
      </c>
      <c r="G35" s="18" t="inlineStr">
        <is>
          <t>Very Good</t>
        </is>
      </c>
      <c r="H35" s="18" t="inlineStr">
        <is>
          <t>Excellent</t>
        </is>
      </c>
      <c r="I35" s="67" t="n"/>
    </row>
    <row r="36">
      <c r="C36" s="223" t="n"/>
      <c r="D36" s="72" t="inlineStr">
        <is>
          <t>&lt;1.5</t>
        </is>
      </c>
      <c r="E36" s="73" t="inlineStr">
        <is>
          <t>1.5-2.5</t>
        </is>
      </c>
      <c r="F36" s="74" t="inlineStr">
        <is>
          <t>2.5-3.5</t>
        </is>
      </c>
      <c r="G36" s="75" t="inlineStr">
        <is>
          <t>3.5-4.5</t>
        </is>
      </c>
      <c r="H36" s="76" t="inlineStr">
        <is>
          <t>4.5-5</t>
        </is>
      </c>
      <c r="I36" s="68" t="n"/>
    </row>
  </sheetData>
  <mergeCells count="9">
    <mergeCell ref="C35:C36"/>
    <mergeCell ref="A17:A22"/>
    <mergeCell ref="B17:B22"/>
    <mergeCell ref="A24:A29"/>
    <mergeCell ref="A2:A7"/>
    <mergeCell ref="C2:C7"/>
    <mergeCell ref="A10:A15"/>
    <mergeCell ref="D31:H31"/>
    <mergeCell ref="B24:B29"/>
  </mergeCells>
  <conditionalFormatting sqref="D18:P18">
    <cfRule type="expression" priority="1" dxfId="131">
      <formula>=LEN(TRIM(D18))=0</formula>
    </cfRule>
    <cfRule type="cellIs" priority="2" operator="greaterThan" dxfId="130">
      <formula>5.4</formula>
    </cfRule>
    <cfRule type="cellIs" priority="3" operator="greaterThanOrEqual" dxfId="129">
      <formula>5.0</formula>
    </cfRule>
    <cfRule type="cellIs" priority="4" operator="lessThan" dxfId="126">
      <formula>5.0</formula>
    </cfRule>
  </conditionalFormatting>
  <conditionalFormatting sqref="D19:P19">
    <cfRule type="expression" priority="5" dxfId="131">
      <formula>=LEN(TRIM(D19))=0</formula>
    </cfRule>
    <cfRule type="cellIs" priority="6" operator="lessThan" dxfId="130">
      <formula>0.025</formula>
    </cfRule>
    <cfRule type="cellIs" priority="7" operator="lessThan" dxfId="129">
      <formula>0.04</formula>
    </cfRule>
    <cfRule type="cellIs" priority="8" operator="greaterThanOrEqual" dxfId="126">
      <formula>0.04</formula>
    </cfRule>
  </conditionalFormatting>
  <conditionalFormatting sqref="D20:P20">
    <cfRule type="expression" priority="9" dxfId="131">
      <formula>=LEN(TRIM(D20))=0</formula>
    </cfRule>
    <cfRule type="cellIs" priority="10" operator="greaterThanOrEqual" dxfId="130">
      <formula>4.5</formula>
    </cfRule>
    <cfRule type="cellIs" priority="11" operator="greaterThanOrEqual" dxfId="129">
      <formula>3.5</formula>
    </cfRule>
    <cfRule type="cellIs" priority="12" operator="greaterThanOrEqual" dxfId="128">
      <formula>2.5</formula>
    </cfRule>
    <cfRule type="cellIs" priority="13" operator="greaterThanOrEqual" dxfId="127">
      <formula>1.5</formula>
    </cfRule>
    <cfRule type="cellIs" priority="14" operator="lessThan" dxfId="126">
      <formula>1.5</formula>
    </cfRule>
  </conditionalFormatting>
  <conditionalFormatting sqref="D21:P21">
    <cfRule type="expression" priority="15" dxfId="131">
      <formula>=LEN(TRIM(D21))=0</formula>
    </cfRule>
    <cfRule type="cellIs" priority="16" operator="greaterThanOrEqual" dxfId="130">
      <formula>4.5</formula>
    </cfRule>
    <cfRule type="cellIs" priority="17" operator="greaterThanOrEqual" dxfId="129">
      <formula>3.5</formula>
    </cfRule>
    <cfRule type="cellIs" priority="18" operator="greaterThanOrEqual" dxfId="128">
      <formula>2.5</formula>
    </cfRule>
    <cfRule type="cellIs" priority="19" operator="greaterThanOrEqual" dxfId="127">
      <formula>1.5</formula>
    </cfRule>
    <cfRule type="cellIs" priority="20" operator="lessThan" dxfId="126">
      <formula>1.5</formula>
    </cfRule>
  </conditionalFormatting>
  <conditionalFormatting sqref="D22:P22">
    <cfRule type="expression" priority="21" dxfId="131">
      <formula>=LEN(TRIM(D22))=0</formula>
    </cfRule>
    <cfRule type="cellIs" priority="22" operator="greaterThanOrEqual" dxfId="130">
      <formula>4.5</formula>
    </cfRule>
    <cfRule type="cellIs" priority="23" operator="greaterThanOrEqual" dxfId="129">
      <formula>3.5</formula>
    </cfRule>
    <cfRule type="cellIs" priority="24" operator="greaterThanOrEqual" dxfId="128">
      <formula>2.5</formula>
    </cfRule>
    <cfRule type="cellIs" priority="25" operator="greaterThanOrEqual" dxfId="127">
      <formula>1.5</formula>
    </cfRule>
    <cfRule type="cellIs" priority="26" operator="lessThan" dxfId="126">
      <formula>1.5</formula>
    </cfRule>
  </conditionalFormatting>
  <conditionalFormatting sqref="D11:P11">
    <cfRule type="expression" priority="27" dxfId="131">
      <formula>=LEN(TRIM(D11))=0</formula>
    </cfRule>
    <cfRule type="cellIs" priority="28" operator="greaterThan" dxfId="130">
      <formula>5.4</formula>
    </cfRule>
    <cfRule type="cellIs" priority="29" operator="greaterThanOrEqual" dxfId="129">
      <formula>5.0</formula>
    </cfRule>
    <cfRule type="cellIs" priority="30" operator="lessThan" dxfId="126">
      <formula>5.0</formula>
    </cfRule>
  </conditionalFormatting>
  <conditionalFormatting sqref="D12:P12">
    <cfRule type="expression" priority="31" dxfId="131">
      <formula>=LEN(TRIM(D12))=0</formula>
    </cfRule>
    <cfRule type="cellIs" priority="32" operator="lessThan" dxfId="130">
      <formula>0.025</formula>
    </cfRule>
    <cfRule type="cellIs" priority="33" operator="lessThan" dxfId="129">
      <formula>0.04</formula>
    </cfRule>
    <cfRule type="cellIs" priority="34" operator="greaterThanOrEqual" dxfId="126">
      <formula>0.04</formula>
    </cfRule>
  </conditionalFormatting>
  <conditionalFormatting sqref="D13:P13">
    <cfRule type="expression" priority="35" dxfId="131">
      <formula>=LEN(TRIM(D13))=0</formula>
    </cfRule>
    <cfRule type="cellIs" priority="36" operator="greaterThanOrEqual" dxfId="130">
      <formula>4.5</formula>
    </cfRule>
    <cfRule type="cellIs" priority="37" operator="greaterThanOrEqual" dxfId="129">
      <formula>3.5</formula>
    </cfRule>
    <cfRule type="cellIs" priority="38" operator="greaterThanOrEqual" dxfId="128">
      <formula>2.5</formula>
    </cfRule>
    <cfRule type="cellIs" priority="39" operator="greaterThanOrEqual" dxfId="127">
      <formula>1.5</formula>
    </cfRule>
    <cfRule type="cellIs" priority="40" operator="lessThan" dxfId="126">
      <formula>1.5</formula>
    </cfRule>
  </conditionalFormatting>
  <conditionalFormatting sqref="D14:P14">
    <cfRule type="expression" priority="41" dxfId="131">
      <formula>=LEN(TRIM(D14))=0</formula>
    </cfRule>
    <cfRule type="cellIs" priority="42" operator="greaterThanOrEqual" dxfId="130">
      <formula>4.5</formula>
    </cfRule>
    <cfRule type="cellIs" priority="43" operator="greaterThanOrEqual" dxfId="129">
      <formula>3.5</formula>
    </cfRule>
    <cfRule type="cellIs" priority="44" operator="greaterThanOrEqual" dxfId="128">
      <formula>2.5</formula>
    </cfRule>
    <cfRule type="cellIs" priority="45" operator="greaterThanOrEqual" dxfId="127">
      <formula>1.5</formula>
    </cfRule>
    <cfRule type="cellIs" priority="46" operator="lessThan" dxfId="126">
      <formula>1.5</formula>
    </cfRule>
  </conditionalFormatting>
  <conditionalFormatting sqref="D15:P15">
    <cfRule type="expression" priority="47" dxfId="131">
      <formula>=LEN(TRIM(D15))=0</formula>
    </cfRule>
    <cfRule type="cellIs" priority="48" operator="greaterThanOrEqual" dxfId="130">
      <formula>4.5</formula>
    </cfRule>
    <cfRule type="cellIs" priority="49" operator="greaterThanOrEqual" dxfId="129">
      <formula>3.5</formula>
    </cfRule>
    <cfRule type="cellIs" priority="50" operator="greaterThanOrEqual" dxfId="128">
      <formula>2.5</formula>
    </cfRule>
    <cfRule type="cellIs" priority="51" operator="greaterThanOrEqual" dxfId="127">
      <formula>1.5</formula>
    </cfRule>
    <cfRule type="cellIs" priority="52" operator="lessThan" dxfId="126">
      <formula>1.5</formula>
    </cfRule>
  </conditionalFormatting>
  <conditionalFormatting sqref="D25:E25">
    <cfRule type="expression" priority="53" dxfId="131">
      <formula>=LEN(TRIM(D25))=0</formula>
    </cfRule>
    <cfRule type="cellIs" priority="54" operator="greaterThan" dxfId="130">
      <formula>4.9</formula>
    </cfRule>
    <cfRule type="cellIs" priority="55" operator="greaterThanOrEqual" dxfId="129">
      <formula>4.3</formula>
    </cfRule>
    <cfRule type="cellIs" priority="56" operator="lessThan" dxfId="126">
      <formula>4.3</formula>
    </cfRule>
  </conditionalFormatting>
  <conditionalFormatting sqref="F25:P25">
    <cfRule type="expression" priority="57" dxfId="131">
      <formula>=LEN(TRIM(F25))=0</formula>
    </cfRule>
    <cfRule type="cellIs" priority="58" operator="greaterThan" dxfId="130">
      <formula>4.6</formula>
    </cfRule>
    <cfRule type="cellIs" priority="59" operator="greaterThanOrEqual" dxfId="129">
      <formula>4.0</formula>
    </cfRule>
    <cfRule type="cellIs" priority="60" operator="lessThan" dxfId="126">
      <formula>4.0</formula>
    </cfRule>
  </conditionalFormatting>
  <conditionalFormatting sqref="D26:P26">
    <cfRule type="expression" priority="61" dxfId="131">
      <formula>=LEN(TRIM(D26))=0</formula>
    </cfRule>
    <cfRule type="cellIs" priority="62" operator="greaterThanOrEqual" dxfId="130">
      <formula>4.5</formula>
    </cfRule>
    <cfRule type="cellIs" priority="63" operator="greaterThanOrEqual" dxfId="129">
      <formula>3.5</formula>
    </cfRule>
    <cfRule type="cellIs" priority="64" operator="greaterThanOrEqual" dxfId="128">
      <formula>2.5</formula>
    </cfRule>
    <cfRule type="cellIs" priority="65" operator="greaterThanOrEqual" dxfId="127">
      <formula>1.5</formula>
    </cfRule>
    <cfRule type="cellIs" priority="66" operator="lessThan" dxfId="126">
      <formula>1.5</formula>
    </cfRule>
  </conditionalFormatting>
  <conditionalFormatting sqref="D27:P27">
    <cfRule type="expression" priority="67" dxfId="131">
      <formula>=LEN(TRIM(D27))=0</formula>
    </cfRule>
    <cfRule type="cellIs" priority="68" operator="greaterThanOrEqual" dxfId="130">
      <formula>4.5</formula>
    </cfRule>
    <cfRule type="cellIs" priority="69" operator="greaterThanOrEqual" dxfId="129">
      <formula>3.5</formula>
    </cfRule>
    <cfRule type="cellIs" priority="70" operator="greaterThanOrEqual" dxfId="128">
      <formula>2.5</formula>
    </cfRule>
    <cfRule type="cellIs" priority="71" operator="greaterThanOrEqual" dxfId="127">
      <formula>1.5</formula>
    </cfRule>
    <cfRule type="cellIs" priority="72" operator="lessThan" dxfId="126">
      <formula>1.5</formula>
    </cfRule>
  </conditionalFormatting>
  <conditionalFormatting sqref="D28:P28">
    <cfRule type="expression" priority="73" dxfId="131">
      <formula>=LEN(TRIM(D28))=0</formula>
    </cfRule>
    <cfRule type="cellIs" priority="74" operator="greaterThanOrEqual" dxfId="130">
      <formula>4.5</formula>
    </cfRule>
    <cfRule type="cellIs" priority="75" operator="greaterThanOrEqual" dxfId="129">
      <formula>3.5</formula>
    </cfRule>
    <cfRule type="cellIs" priority="76" operator="greaterThanOrEqual" dxfId="128">
      <formula>2.5</formula>
    </cfRule>
    <cfRule type="cellIs" priority="77" operator="greaterThanOrEqual" dxfId="127">
      <formula>1.5</formula>
    </cfRule>
    <cfRule type="cellIs" priority="78" operator="lessThan" dxfId="126">
      <formula>1.5</formula>
    </cfRule>
  </conditionalFormatting>
  <conditionalFormatting sqref="D29:P29">
    <cfRule type="expression" priority="79" dxfId="131">
      <formula>=LEN(TRIM(D29))=0</formula>
    </cfRule>
    <cfRule type="cellIs" priority="80" operator="greaterThanOrEqual" dxfId="130">
      <formula>4.5</formula>
    </cfRule>
    <cfRule type="cellIs" priority="81" operator="greaterThanOrEqual" dxfId="129">
      <formula>3.5</formula>
    </cfRule>
    <cfRule type="cellIs" priority="82" operator="greaterThanOrEqual" dxfId="128">
      <formula>2.5</formula>
    </cfRule>
    <cfRule type="cellIs" priority="83" operator="greaterThanOrEqual" dxfId="127">
      <formula>1.5</formula>
    </cfRule>
    <cfRule type="cellIs" priority="84" operator="lessThan" dxfId="126">
      <formula>1.5</formula>
    </cfRule>
  </conditionalFormatting>
  <pageMargins left="0.7" right="0.7" top="0.75" bottom="0.75" header="0.3" footer="0.3"/>
  <pageSetup orientation="portrait"/>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B2:AH113"/>
  <sheetViews>
    <sheetView zoomScale="74" zoomScaleNormal="55" workbookViewId="0">
      <selection activeCell="F77" sqref="F77"/>
    </sheetView>
  </sheetViews>
  <sheetFormatPr baseColWidth="8" defaultColWidth="8.85546875" defaultRowHeight="15" customHeight="1"/>
  <cols>
    <col width="2.85546875" customWidth="1" style="1" min="1" max="1"/>
    <col width="48.28515625" customWidth="1" style="1" min="2" max="2"/>
    <col width="9.7109375" customWidth="1" style="1" min="3" max="14"/>
    <col width="13.42578125" customWidth="1" style="1" min="15" max="15"/>
    <col width="13.85546875" customWidth="1" style="1" min="16" max="16"/>
    <col width="16.140625" customWidth="1" style="1" min="17" max="17"/>
    <col width="14.42578125" customWidth="1" style="1" min="18" max="18"/>
    <col width="13.42578125" customWidth="1" style="1" min="19" max="19"/>
    <col width="8.85546875" customWidth="1" style="1" min="20" max="71"/>
    <col width="8.85546875" customWidth="1" style="1" min="72" max="16384"/>
  </cols>
  <sheetData>
    <row r="2" ht="14.45" customHeight="1">
      <c r="B2" s="194" t="inlineStr">
        <is>
          <t>Team South</t>
        </is>
      </c>
      <c r="C2" s="197" t="inlineStr">
        <is>
          <t>Beth</t>
        </is>
      </c>
      <c r="D2" s="224" t="n"/>
      <c r="E2" s="220" t="n"/>
      <c r="F2" s="220" t="n"/>
      <c r="G2" s="92" t="n"/>
      <c r="H2" s="92" t="n"/>
      <c r="I2" s="220" t="n"/>
      <c r="J2" s="220" t="n"/>
      <c r="K2" s="220" t="n"/>
      <c r="L2" s="220" t="n"/>
      <c r="M2" s="220" t="n"/>
      <c r="N2" s="220" t="n"/>
      <c r="O2" s="220" t="n"/>
      <c r="P2" s="220" t="n"/>
      <c r="Q2" s="220" t="n"/>
      <c r="R2" s="220" t="n"/>
      <c r="S2" s="220" t="n"/>
      <c r="T2" s="220" t="n"/>
      <c r="U2" s="220" t="n"/>
      <c r="V2" s="220" t="n"/>
      <c r="W2" s="220" t="n"/>
      <c r="X2" s="220" t="n"/>
      <c r="Y2" s="93" t="n">
        <v>5</v>
      </c>
      <c r="Z2" s="93" t="n"/>
      <c r="AA2" s="220" t="n"/>
      <c r="AB2" s="220" t="n"/>
      <c r="AC2" s="220" t="n"/>
      <c r="AD2" s="220" t="n"/>
      <c r="AE2" s="220" t="n"/>
      <c r="AF2" s="220" t="n"/>
    </row>
    <row r="3" ht="14.45" customHeight="1">
      <c r="B3" s="225" t="n"/>
      <c r="D3" s="226" t="n"/>
      <c r="E3" s="220" t="n"/>
      <c r="F3" s="220" t="n"/>
      <c r="G3" s="220" t="n"/>
      <c r="H3" s="220" t="n"/>
      <c r="I3" s="220" t="n"/>
      <c r="J3" s="220" t="n"/>
      <c r="K3" s="220" t="n"/>
      <c r="L3" s="220" t="n"/>
      <c r="M3" s="220" t="n"/>
      <c r="N3" s="220" t="n"/>
      <c r="O3" s="220" t="n"/>
      <c r="P3" s="220" t="n"/>
      <c r="Q3" s="220" t="n"/>
      <c r="R3" s="220" t="n"/>
      <c r="S3" s="220" t="n"/>
      <c r="T3" s="220" t="n"/>
      <c r="U3" s="220" t="n"/>
      <c r="V3" s="220" t="n"/>
      <c r="W3" s="220" t="n"/>
      <c r="X3" s="220" t="n"/>
      <c r="Y3" s="93" t="n">
        <v>4</v>
      </c>
      <c r="Z3" s="93" t="n"/>
      <c r="AA3" s="220" t="n"/>
      <c r="AB3" s="220" t="n"/>
      <c r="AC3" s="220" t="n"/>
      <c r="AD3" s="220" t="n"/>
      <c r="AE3" s="220" t="n"/>
      <c r="AF3" s="220" t="n"/>
    </row>
    <row r="4">
      <c r="B4" s="227" t="n"/>
      <c r="C4" s="228" t="n"/>
      <c r="D4" s="229" t="n"/>
      <c r="E4" s="220" t="n"/>
      <c r="F4" s="220" t="n"/>
      <c r="G4" s="220" t="n"/>
      <c r="H4" s="220" t="n"/>
      <c r="I4" s="220" t="n"/>
      <c r="J4" s="220" t="n"/>
      <c r="K4" s="220" t="n"/>
      <c r="L4" s="220" t="n"/>
      <c r="M4" s="220" t="n"/>
      <c r="N4" s="220" t="n"/>
      <c r="O4" s="220" t="n"/>
      <c r="P4" s="220" t="n"/>
      <c r="Q4" s="220" t="n"/>
      <c r="R4" s="220" t="n"/>
      <c r="S4" s="220" t="n"/>
      <c r="T4" s="220" t="n"/>
      <c r="U4" s="220" t="n"/>
      <c r="V4" s="220" t="n"/>
      <c r="W4" s="220" t="n"/>
      <c r="X4" s="220" t="n"/>
      <c r="Y4" s="93" t="n">
        <v>3</v>
      </c>
      <c r="Z4" s="93" t="n"/>
      <c r="AA4" s="220" t="n"/>
      <c r="AB4" s="220" t="n"/>
      <c r="AC4" s="220" t="n"/>
      <c r="AD4" s="220" t="n"/>
      <c r="AE4" s="220" t="n"/>
      <c r="AF4" s="220" t="n"/>
    </row>
    <row r="5">
      <c r="B5" s="220" t="n"/>
      <c r="C5" s="220" t="n"/>
      <c r="D5" s="220" t="n"/>
      <c r="E5" s="220" t="n"/>
      <c r="F5" s="94" t="n"/>
      <c r="G5" s="94" t="n"/>
      <c r="H5" s="94" t="n"/>
      <c r="I5" s="94" t="n"/>
      <c r="J5" s="94" t="n"/>
      <c r="K5" s="220" t="n"/>
      <c r="L5" s="220" t="n"/>
      <c r="M5" s="220" t="n"/>
      <c r="N5" s="220" t="n"/>
      <c r="O5" s="220" t="n"/>
      <c r="P5" s="220" t="n"/>
      <c r="Q5" s="220" t="n"/>
      <c r="R5" s="220" t="n"/>
      <c r="S5" s="220" t="n"/>
      <c r="T5" s="220" t="n"/>
      <c r="U5" s="220" t="n"/>
      <c r="V5" s="220" t="n"/>
      <c r="W5" s="220" t="n"/>
      <c r="X5" s="220" t="n"/>
      <c r="Y5" s="93" t="n">
        <v>2</v>
      </c>
      <c r="Z5" s="93" t="n"/>
      <c r="AA5" s="220" t="n"/>
      <c r="AB5" s="220" t="n"/>
      <c r="AC5" s="220" t="n"/>
      <c r="AD5" s="220" t="n"/>
      <c r="AE5" s="220" t="n"/>
      <c r="AF5" s="220" t="n"/>
    </row>
    <row r="6" ht="14.45" customHeight="1">
      <c r="B6" s="3" t="inlineStr">
        <is>
          <t>Team Average</t>
        </is>
      </c>
      <c r="C6" s="133" t="inlineStr">
        <is>
          <t>Jan</t>
        </is>
      </c>
      <c r="D6" s="133" t="inlineStr">
        <is>
          <t>Feb</t>
        </is>
      </c>
      <c r="E6" s="133" t="inlineStr">
        <is>
          <t>Mar</t>
        </is>
      </c>
      <c r="F6" s="133" t="inlineStr">
        <is>
          <t>Apr</t>
        </is>
      </c>
      <c r="G6" s="133" t="inlineStr">
        <is>
          <t>May</t>
        </is>
      </c>
      <c r="H6" s="133" t="inlineStr">
        <is>
          <t>June</t>
        </is>
      </c>
      <c r="I6" s="133" t="inlineStr">
        <is>
          <t>July</t>
        </is>
      </c>
      <c r="J6" s="133" t="inlineStr">
        <is>
          <t>Aug</t>
        </is>
      </c>
      <c r="K6" s="133" t="inlineStr">
        <is>
          <t>Sept</t>
        </is>
      </c>
      <c r="L6" s="133" t="inlineStr">
        <is>
          <t>Oct</t>
        </is>
      </c>
      <c r="M6" s="133" t="inlineStr">
        <is>
          <t>Nov</t>
        </is>
      </c>
      <c r="N6" s="133" t="inlineStr">
        <is>
          <t>Dec</t>
        </is>
      </c>
      <c r="O6" s="134" t="inlineStr">
        <is>
          <t>Average</t>
        </is>
      </c>
      <c r="P6" s="220" t="n"/>
      <c r="Q6" s="199" t="inlineStr">
        <is>
          <t>TEAM KPI'S</t>
        </is>
      </c>
      <c r="R6" s="230" t="n"/>
      <c r="S6" s="230" t="n"/>
      <c r="T6" s="230" t="n"/>
      <c r="U6" s="230" t="n"/>
      <c r="V6" s="230" t="n"/>
      <c r="W6" s="224" t="n"/>
      <c r="X6" s="91" t="n"/>
      <c r="Y6" s="118" t="n">
        <v>1</v>
      </c>
      <c r="Z6" s="91" t="n"/>
      <c r="AA6" s="91" t="n"/>
      <c r="AB6" s="220" t="n"/>
      <c r="AC6" s="93" t="n"/>
      <c r="AD6" s="93" t="n"/>
      <c r="AE6" s="220" t="n"/>
      <c r="AF6" s="220" t="n"/>
    </row>
    <row r="7" ht="14.45" customHeight="1">
      <c r="B7" s="2" t="inlineStr">
        <is>
          <t>Billings</t>
        </is>
      </c>
      <c r="C7" s="131">
        <f>IF(SUMIFS(FTETable[Jan], FTETable[Team], "Physio_South")=0, "",
    SUMIFS(FTETable[Jan], FTETable[Team], "Physio_South") /
    SUMIFS(FTETable[FTE], FTETable[Team], "Physio_South", FTETable[Jan], "&gt;0"))</f>
        <v/>
      </c>
      <c r="D7" s="131">
        <f>IF(SUMIFS(FTETable[Feb], FTETable[Team], "Physio_South")=0, "",
    SUMIFS(FTETable[Feb], FTETable[Team], "Physio_South") /
    SUMIFS(FTETable[FTE], FTETable[Team], "Physio_South", FTETable[Feb], "&gt;0"))</f>
        <v/>
      </c>
      <c r="E7" s="131">
        <f>IF(SUMIFS(FTETable[Mar], FTETable[Team], "Physio_South")=0, "",
    SUMIFS(FTETable[Mar], FTETable[Team], "Physio_South") /
    SUMIFS(FTETable[FTE], FTETable[Team], "Physio_South", FTETable[Mar], "&gt;0"))</f>
        <v/>
      </c>
      <c r="F7" s="135">
        <f>IF(SUMIFS(FTETable[Apr], FTETable[Team], "Physio_South")=0, "",
    SUMIFS(FTETable[Apr], FTETable[Team], "Physio_South") /
    SUMIFS(FTETable[FTE], FTETable[Team], "Physio_South", FTETable[Apr], "&gt;0"))</f>
        <v/>
      </c>
      <c r="G7" s="131">
        <f>IF(SUMIFS(FTETable[May], FTETable[Team], "Physio_South")=0, "",
    SUMIFS(FTETable[May], FTETable[Team], "Physio_South") /
    SUMIFS(FTETable[FTE], FTETable[Team], "Physio_South", FTETable[May], "&gt;0"))</f>
        <v/>
      </c>
      <c r="H7" s="131">
        <f>IF(SUMIFS(FTETable[June], FTETable[Team], "Physio_South")=0, "",
    SUMIFS(FTETable[June], FTETable[Team], "Physio_South") /
    SUMIFS(FTETable[FTE], FTETable[Team], "Physio_South", FTETable[June], "&gt;0"))</f>
        <v/>
      </c>
      <c r="I7" s="131">
        <f>IF(SUMIFS(FTETable[July], FTETable[Team], "Physio_South")=0, "",
    SUMIFS(FTETable[July], FTETable[Team], "Physio_South") /
    SUMIFS(FTETable[FTE], FTETable[Team], "Physio_South", FTETable[July], "&gt;0"))</f>
        <v/>
      </c>
      <c r="J7" s="131">
        <f>IF(SUMIFS(FTETable[Aug], FTETable[Team], "Physio_South")=0, "",
    SUMIFS(FTETable[Aug], FTETable[Team], "Physio_South") /
    SUMIFS(FTETable[FTE], FTETable[Team], "Physio_South", FTETable[Aug], "&gt;0"))</f>
        <v/>
      </c>
      <c r="K7" s="131">
        <f>IF(SUMIFS(FTETable[Sept], FTETable[Team], "Physio_South")=0, "",
    SUMIFS(FTETable[Sept], FTETable[Team], "Physio_South") /
    SUMIFS(FTETable[FTE], FTETable[Team], "Physio_South", FTETable[Sept], "&gt;0"))</f>
        <v/>
      </c>
      <c r="L7" s="131">
        <f>IF(SUMIFS(FTETable[Oct], FTETable[Team], "Physio_South")=0, "",
    SUMIFS(FTETable[Oct], FTETable[Team], "Physio_South") /
    SUMIFS(FTETable[FTE], FTETable[Team], "Physio_South", FTETable[Oct], "&gt;0"))</f>
        <v/>
      </c>
      <c r="M7" s="131">
        <f>IF(SUMIFS(FTETable[Nov], FTETable[Team], "Physio_South")=0, "",
    SUMIFS(FTETable[Nov], FTETable[Team], "Physio_South") /
    SUMIFS(FTETable[FTE], FTETable[Team], "Physio_South", FTETable[Nov], "&gt;0"))</f>
        <v/>
      </c>
      <c r="N7" s="131">
        <f>IF(SUMIFS(FTETable[Dec], FTETable[Team], "Physio_South")=0, "",
    SUMIFS(FTETable[Dec], FTETable[Team], "Physio_South") /
    SUMIFS(FTETable[FTE], FTETable[Team], "Physio_South", FTETable[Dec], "&gt;0"))</f>
        <v/>
      </c>
      <c r="O7" s="131">
        <f>IFERROR(AVERAGEIF(C7:N7, "&gt;0"),"")</f>
        <v/>
      </c>
      <c r="P7" s="220" t="n"/>
      <c r="Q7" s="187" t="inlineStr">
        <is>
          <t>Team Billings</t>
        </is>
      </c>
      <c r="R7" s="231" t="n"/>
      <c r="S7" s="176" t="inlineStr">
        <is>
          <t>Below</t>
        </is>
      </c>
      <c r="T7" s="176" t="inlineStr">
        <is>
          <t>Good</t>
        </is>
      </c>
      <c r="U7" s="10" t="inlineStr">
        <is>
          <t>Excellent</t>
        </is>
      </c>
      <c r="V7" s="17" t="n"/>
      <c r="W7" s="17" t="n"/>
      <c r="X7" s="91" t="n"/>
      <c r="Y7" s="91" t="n"/>
      <c r="Z7" s="91" t="n"/>
      <c r="AA7" s="91" t="n"/>
      <c r="AB7" s="220" t="n"/>
      <c r="AC7" s="93" t="n"/>
      <c r="AD7" s="93" t="n"/>
      <c r="AE7" s="220" t="n"/>
      <c r="AF7" s="220" t="n"/>
    </row>
    <row r="8" ht="14.45" customHeight="1">
      <c r="B8" s="2" t="inlineStr">
        <is>
          <t>Ceased Services</t>
        </is>
      </c>
      <c r="C8" s="136">
        <f>IFERROR(AVERAGE(Ceased_South[Jan]),"")</f>
        <v/>
      </c>
      <c r="D8" s="136">
        <f>IFERROR(AVERAGE(Ceased_South[Feb]),"")</f>
        <v/>
      </c>
      <c r="E8" s="136">
        <f>IFERROR(AVERAGE(Ceased_South[Mar]),"")</f>
        <v/>
      </c>
      <c r="F8" s="136">
        <f>IFERROR(AVERAGE(Ceased_South[Apr]),"")</f>
        <v/>
      </c>
      <c r="G8" s="136">
        <f>IFERROR(AVERAGE(Ceased_South[May]),"")</f>
        <v/>
      </c>
      <c r="H8" s="136">
        <f>IFERROR(AVERAGE(Ceased_South[June]),"")</f>
        <v/>
      </c>
      <c r="I8" s="136">
        <f>IFERROR(AVERAGE(Ceased_South[July]),"")</f>
        <v/>
      </c>
      <c r="J8" s="136">
        <f>IFERROR(AVERAGE(Ceased_South[Aug]),"")</f>
        <v/>
      </c>
      <c r="K8" s="136">
        <f>IFERROR(AVERAGE(Ceased_South[Sept]),"")</f>
        <v/>
      </c>
      <c r="L8" s="136">
        <f>IFERROR(AVERAGE(Ceased_South[Oct]),"")</f>
        <v/>
      </c>
      <c r="M8" s="136">
        <f>IFERROR(AVERAGE(Ceased_South[Nov]),"")</f>
        <v/>
      </c>
      <c r="N8" s="136">
        <f>IFERROR(AVERAGE(Ceased_South[Dec]),"")</f>
        <v/>
      </c>
      <c r="O8" s="136">
        <f>IFERROR(AVERAGEIF(C8:N8, "&gt;0"),"")</f>
        <v/>
      </c>
      <c r="P8" s="220" t="n"/>
      <c r="Q8" s="232" t="n"/>
      <c r="R8" s="233" t="n"/>
      <c r="S8" s="22" t="inlineStr">
        <is>
          <t xml:space="preserve">&lt;5 </t>
        </is>
      </c>
      <c r="T8" s="24" t="inlineStr">
        <is>
          <t xml:space="preserve">5-5.4 </t>
        </is>
      </c>
      <c r="U8" s="26" t="inlineStr">
        <is>
          <t xml:space="preserve">&gt;5.4 </t>
        </is>
      </c>
      <c r="V8" s="17" t="n"/>
      <c r="W8" s="17" t="n"/>
      <c r="X8" s="91" t="n"/>
      <c r="Y8" s="91" t="n"/>
      <c r="Z8" s="91" t="n"/>
      <c r="AA8" s="91" t="n"/>
      <c r="AB8" s="220" t="n"/>
      <c r="AC8" s="220" t="n"/>
      <c r="AD8" s="220" t="n"/>
      <c r="AE8" s="220" t="n"/>
      <c r="AF8" s="220" t="n"/>
    </row>
    <row r="9" ht="14.45" customHeight="1">
      <c r="B9" s="2" t="inlineStr">
        <is>
          <t>Documentation</t>
        </is>
      </c>
      <c r="C9" s="137">
        <f>IFERROR(AVERAGE(Documentation_South[Jan]),"")</f>
        <v/>
      </c>
      <c r="D9" s="137">
        <f>IFERROR(AVERAGE(Documentation_South[Feb]),"")</f>
        <v/>
      </c>
      <c r="E9" s="137">
        <f>IFERROR(AVERAGE(Documentation_South[Mar]),"")</f>
        <v/>
      </c>
      <c r="F9" s="137">
        <f>IFERROR(AVERAGE(Documentation_South[Apr]),"")</f>
        <v/>
      </c>
      <c r="G9" s="137">
        <f>IFERROR(AVERAGE(Documentation_South[May]),"")</f>
        <v/>
      </c>
      <c r="H9" s="137">
        <f>IFERROR(AVERAGE(Documentation_South[June]),"")</f>
        <v/>
      </c>
      <c r="I9" s="137">
        <f>IFERROR(AVERAGE(Documentation_South[July]),"")</f>
        <v/>
      </c>
      <c r="J9" s="137">
        <f>IFERROR(AVERAGE(Documentation_South[Aug]),"")</f>
        <v/>
      </c>
      <c r="K9" s="137">
        <f>IFERROR(AVERAGE(Documentation_South[Sept]),"")</f>
        <v/>
      </c>
      <c r="L9" s="137">
        <f>IFERROR(AVERAGE(Documentation_South[Oct]),"")</f>
        <v/>
      </c>
      <c r="M9" s="137">
        <f>IFERROR(AVERAGE(Documentation_South[Nov]),"")</f>
        <v/>
      </c>
      <c r="N9" s="137">
        <f>IFERROR(AVERAGE(Documentation_South[Dec]),"")</f>
        <v/>
      </c>
      <c r="O9" s="137">
        <f>IFERROR(AVERAGEIF(C9:N9, "&gt;0"),"")</f>
        <v/>
      </c>
      <c r="P9" s="220" t="n"/>
      <c r="Q9" s="179" t="inlineStr">
        <is>
          <t xml:space="preserve">Other KPI's </t>
        </is>
      </c>
      <c r="R9" s="231" t="n"/>
      <c r="S9" s="176" t="inlineStr">
        <is>
          <t>Unsatisfactory</t>
        </is>
      </c>
      <c r="T9" s="176" t="inlineStr">
        <is>
          <t>Needs improvement</t>
        </is>
      </c>
      <c r="U9" s="176" t="inlineStr">
        <is>
          <t>In progress</t>
        </is>
      </c>
      <c r="V9" s="18" t="inlineStr">
        <is>
          <t>Very Good</t>
        </is>
      </c>
      <c r="W9" s="19" t="inlineStr">
        <is>
          <t>Excellent</t>
        </is>
      </c>
      <c r="X9" s="91" t="n"/>
      <c r="Y9" s="91" t="n"/>
      <c r="Z9" s="91" t="n"/>
      <c r="AA9" s="91" t="n"/>
      <c r="AB9" s="220" t="n"/>
      <c r="AC9" s="220" t="n"/>
      <c r="AD9" s="220" t="n"/>
      <c r="AE9" s="220" t="n"/>
      <c r="AF9" s="220" t="n"/>
    </row>
    <row r="10" ht="14.45" customHeight="1">
      <c r="B10" s="2" t="inlineStr">
        <is>
          <t>Admin &amp; Operational Efficiency</t>
        </is>
      </c>
      <c r="C10" s="137">
        <f>IFERROR(AVERAGE(Admin_South[Jan]),"")</f>
        <v/>
      </c>
      <c r="D10" s="137">
        <f>IFERROR(AVERAGE(Admin_South[Feb]),"")</f>
        <v/>
      </c>
      <c r="E10" s="137">
        <f>IFERROR(AVERAGE(Admin_South[Mar]),"")</f>
        <v/>
      </c>
      <c r="F10" s="137">
        <f>IFERROR(AVERAGE(Admin_South[Apr]),"")</f>
        <v/>
      </c>
      <c r="G10" s="137">
        <f>IFERROR(AVERAGE(Admin_South[May]),"")</f>
        <v/>
      </c>
      <c r="H10" s="137">
        <f>IFERROR(AVERAGE(Admin_South[June]),"")</f>
        <v/>
      </c>
      <c r="I10" s="137">
        <f>IFERROR(AVERAGE(Admin_South[July]),"")</f>
        <v/>
      </c>
      <c r="J10" s="137">
        <f>IFERROR(AVERAGE(Admin_South[Aug]),"")</f>
        <v/>
      </c>
      <c r="K10" s="137">
        <f>IFERROR(AVERAGE(Admin_South[Sept]),"")</f>
        <v/>
      </c>
      <c r="L10" s="137">
        <f>IFERROR(AVERAGE(Admin_South[Oct]),"")</f>
        <v/>
      </c>
      <c r="M10" s="137">
        <f>IFERROR(AVERAGE(Admin_South[Nov]),"")</f>
        <v/>
      </c>
      <c r="N10" s="137">
        <f>IFERROR(AVERAGE(Admin_South[Dec]),"")</f>
        <v/>
      </c>
      <c r="O10" s="137">
        <f>IFERROR(AVERAGEIF(C10:N10, "&gt;0"),"")</f>
        <v/>
      </c>
      <c r="P10" s="220" t="n"/>
      <c r="Q10" s="234" t="n"/>
      <c r="R10" s="235" t="n"/>
      <c r="S10" s="21" t="inlineStr">
        <is>
          <t>&lt;1.5</t>
        </is>
      </c>
      <c r="T10" s="23" t="inlineStr">
        <is>
          <t>1.5-2.5</t>
        </is>
      </c>
      <c r="U10" s="28" t="inlineStr">
        <is>
          <t>2.5-3.5</t>
        </is>
      </c>
      <c r="V10" s="25" t="inlineStr">
        <is>
          <t>3.5-4.5</t>
        </is>
      </c>
      <c r="W10" s="27" t="inlineStr">
        <is>
          <t>4.5-5</t>
        </is>
      </c>
      <c r="X10" s="91" t="n"/>
      <c r="Y10" s="91" t="n"/>
      <c r="Z10" s="91" t="n"/>
      <c r="AA10" s="91" t="n"/>
      <c r="AB10" s="220" t="n"/>
      <c r="AC10" s="220" t="n"/>
      <c r="AD10" s="220" t="n"/>
      <c r="AE10" s="220" t="n"/>
      <c r="AF10" s="220" t="n"/>
    </row>
    <row r="11" ht="14.45" customHeight="1">
      <c r="B11" s="4" t="inlineStr">
        <is>
          <t>Attitude, Learning, Collaboration &amp; Client Impact</t>
        </is>
      </c>
      <c r="C11" s="138">
        <f>IFERROR(AVERAGE(Attitude_South[Jan]),"")</f>
        <v/>
      </c>
      <c r="D11" s="138">
        <f>IFERROR(AVERAGE(Attitude_South[Feb]),"")</f>
        <v/>
      </c>
      <c r="E11" s="138">
        <f>IFERROR(AVERAGE(Attitude_South[Mar]),"")</f>
        <v/>
      </c>
      <c r="F11" s="138">
        <f>IFERROR(AVERAGE(Attitude_South[Apr]),"")</f>
        <v/>
      </c>
      <c r="G11" s="138">
        <f>IFERROR(AVERAGE(Attitude_South[May]),"")</f>
        <v/>
      </c>
      <c r="H11" s="138">
        <f>IFERROR(AVERAGE(Attitude_South[June]),"")</f>
        <v/>
      </c>
      <c r="I11" s="138">
        <f>IFERROR(AVERAGE(Attitude_South[July]),"")</f>
        <v/>
      </c>
      <c r="J11" s="138">
        <f>IFERROR(AVERAGE(Attitude_South[Aug]),"")</f>
        <v/>
      </c>
      <c r="K11" s="138">
        <f>IFERROR(AVERAGE(Attitude_South[Sept]),"")</f>
        <v/>
      </c>
      <c r="L11" s="138">
        <f>IFERROR(AVERAGE(Attitude_South[Oct]),"")</f>
        <v/>
      </c>
      <c r="M11" s="138">
        <f>IFERROR(AVERAGE(Attitude_South[Nov]),"")</f>
        <v/>
      </c>
      <c r="N11" s="138">
        <f>IFERROR(AVERAGE(Attitude_South[Dec]),"")</f>
        <v/>
      </c>
      <c r="O11" s="138">
        <f>IFERROR(AVERAGEIF(C11:N11, "&gt;0"),"")</f>
        <v/>
      </c>
      <c r="P11" s="220" t="n"/>
      <c r="Q11" s="220" t="n"/>
      <c r="R11" s="220" t="n"/>
      <c r="S11" s="220" t="n"/>
      <c r="T11" s="220" t="n"/>
      <c r="U11" s="220" t="n"/>
      <c r="V11" s="95" t="n"/>
      <c r="W11" s="91" t="n"/>
      <c r="X11" s="91" t="n"/>
      <c r="Y11" s="91" t="n"/>
      <c r="Z11" s="91" t="n"/>
      <c r="AA11" s="91" t="n"/>
      <c r="AB11" s="220" t="n"/>
      <c r="AC11" s="220" t="n"/>
      <c r="AD11" s="220" t="n"/>
      <c r="AE11" s="220" t="n"/>
      <c r="AF11" s="220" t="n"/>
    </row>
    <row r="12" ht="14.45" customHeight="1">
      <c r="B12" s="220" t="n"/>
      <c r="C12" s="94" t="n"/>
      <c r="D12" s="94" t="n"/>
      <c r="E12" s="94" t="n"/>
      <c r="F12" s="94" t="n"/>
      <c r="G12" s="94" t="n"/>
      <c r="H12" s="94" t="n"/>
      <c r="I12" s="94" t="n"/>
      <c r="J12" s="94" t="n"/>
      <c r="K12" s="94" t="n"/>
      <c r="L12" s="94" t="n"/>
      <c r="M12" s="139" t="n"/>
      <c r="N12" s="139" t="n"/>
      <c r="O12" s="139" t="n"/>
      <c r="P12" s="91" t="n"/>
      <c r="Q12" s="91" t="n"/>
      <c r="R12" s="91" t="n"/>
      <c r="S12" s="91" t="n"/>
      <c r="T12" s="91" t="n"/>
      <c r="U12" s="91" t="n"/>
      <c r="V12" s="91" t="n"/>
      <c r="W12" s="91" t="n"/>
      <c r="X12" s="220" t="n"/>
      <c r="Y12" s="220" t="n"/>
      <c r="Z12" s="220" t="n"/>
      <c r="AA12" s="220" t="n"/>
      <c r="AB12" s="220" t="n"/>
      <c r="AC12" s="220" t="n"/>
      <c r="AD12" s="220" t="n"/>
      <c r="AE12" s="220" t="n"/>
      <c r="AF12" s="220" t="n"/>
    </row>
    <row r="13" ht="14.45" customHeight="1">
      <c r="B13" s="3" t="inlineStr">
        <is>
          <t>Billings</t>
        </is>
      </c>
      <c r="C13" s="133" t="inlineStr">
        <is>
          <t>Jan</t>
        </is>
      </c>
      <c r="D13" s="133" t="inlineStr">
        <is>
          <t>Feb</t>
        </is>
      </c>
      <c r="E13" s="133" t="inlineStr">
        <is>
          <t>Mar</t>
        </is>
      </c>
      <c r="F13" s="133" t="inlineStr">
        <is>
          <t>Apr</t>
        </is>
      </c>
      <c r="G13" s="133" t="inlineStr">
        <is>
          <t>May</t>
        </is>
      </c>
      <c r="H13" s="133" t="inlineStr">
        <is>
          <t>June</t>
        </is>
      </c>
      <c r="I13" s="133" t="inlineStr">
        <is>
          <t>July</t>
        </is>
      </c>
      <c r="J13" s="133" t="inlineStr">
        <is>
          <t>Aug</t>
        </is>
      </c>
      <c r="K13" s="133" t="inlineStr">
        <is>
          <t>Sept</t>
        </is>
      </c>
      <c r="L13" s="133" t="inlineStr">
        <is>
          <t>Oct</t>
        </is>
      </c>
      <c r="M13" s="133" t="inlineStr">
        <is>
          <t>Nov</t>
        </is>
      </c>
      <c r="N13" s="133" t="inlineStr">
        <is>
          <t>Dec</t>
        </is>
      </c>
      <c r="O13" s="133" t="inlineStr">
        <is>
          <t>Average</t>
        </is>
      </c>
      <c r="P13" s="220" t="n"/>
      <c r="Q13" s="191" t="inlineStr">
        <is>
          <t>Billings</t>
        </is>
      </c>
      <c r="R13" s="230" t="n"/>
      <c r="S13" s="230" t="n"/>
      <c r="T13" s="230" t="n"/>
      <c r="U13" s="224" t="n"/>
      <c r="V13" s="220" t="n"/>
      <c r="W13" s="220" t="n"/>
      <c r="X13" s="220" t="n"/>
      <c r="Y13" s="220" t="n"/>
      <c r="Z13" s="220" t="n"/>
      <c r="AA13" s="220" t="n"/>
      <c r="AB13" s="220" t="n"/>
      <c r="AC13" s="96" t="n"/>
      <c r="AD13" s="96" t="n"/>
      <c r="AE13" s="96" t="n"/>
      <c r="AF13" s="96" t="n"/>
    </row>
    <row r="14" ht="14.45" customHeight="1">
      <c r="B14" s="246" t="inlineStr">
        <is>
          <t>Tom</t>
        </is>
      </c>
      <c r="C14" s="247" t="n"/>
      <c r="D14" s="247" t="n"/>
      <c r="E14" s="247" t="n"/>
      <c r="F14" s="247" t="n"/>
      <c r="G14" s="247" t="n"/>
      <c r="H14" s="247" t="n"/>
      <c r="I14" s="247" t="n"/>
      <c r="J14" s="247" t="n"/>
      <c r="K14" s="247" t="n"/>
      <c r="L14" s="247" t="n"/>
      <c r="M14" s="247" t="n"/>
      <c r="N14" s="247" t="n"/>
      <c r="O14" s="140">
        <f>IFERROR(AVERAGE(Billings_South[[#This Row],[Jan]:[Dec]]),"")</f>
        <v/>
      </c>
      <c r="P14" s="220" t="n"/>
      <c r="Q14" s="234" t="n"/>
      <c r="R14" s="228" t="n"/>
      <c r="S14" s="228" t="n"/>
      <c r="T14" s="228" t="n"/>
      <c r="U14" s="229" t="n"/>
      <c r="V14" s="220" t="n"/>
      <c r="W14" s="220" t="n"/>
      <c r="X14" s="220" t="n"/>
      <c r="Y14" s="220" t="n"/>
      <c r="Z14" s="220" t="n"/>
      <c r="AA14" s="220" t="n"/>
      <c r="AB14" s="220" t="n"/>
      <c r="AC14" s="96" t="n"/>
      <c r="AD14" s="96" t="n"/>
      <c r="AE14" s="96" t="n"/>
      <c r="AF14" s="96" t="n"/>
    </row>
    <row r="15">
      <c r="B15" s="248" t="inlineStr">
        <is>
          <t>Maddie</t>
        </is>
      </c>
      <c r="C15" s="247" t="n"/>
      <c r="D15" s="247" t="n"/>
      <c r="E15" s="247" t="n"/>
      <c r="F15" s="247" t="n"/>
      <c r="G15" s="247" t="n"/>
      <c r="H15" s="247" t="n"/>
      <c r="I15" s="247" t="n"/>
      <c r="J15" s="247" t="n"/>
      <c r="K15" s="247" t="n"/>
      <c r="L15" s="247" t="n"/>
      <c r="M15" s="247" t="n"/>
      <c r="N15" s="247" t="n"/>
      <c r="O15" s="140">
        <f>IFERROR(AVERAGE(Billings_South[[#This Row],[Jan]:[Dec]]),"")</f>
        <v/>
      </c>
      <c r="P15" s="220" t="n"/>
      <c r="Q15" s="8" t="n"/>
      <c r="R15" s="9" t="n"/>
      <c r="S15" s="20" t="inlineStr">
        <is>
          <t>Below</t>
        </is>
      </c>
      <c r="T15" s="20" t="inlineStr">
        <is>
          <t>Good</t>
        </is>
      </c>
      <c r="U15" s="20" t="inlineStr">
        <is>
          <t>Excellent</t>
        </is>
      </c>
      <c r="V15" s="220" t="n"/>
      <c r="W15" s="220" t="n"/>
      <c r="X15" s="220" t="n"/>
      <c r="Y15" s="220" t="n"/>
      <c r="Z15" s="220" t="n"/>
      <c r="AA15" s="220" t="n"/>
      <c r="AB15" s="220" t="n"/>
      <c r="AC15" s="96" t="n"/>
      <c r="AD15" s="96" t="n"/>
      <c r="AE15" s="96" t="n"/>
      <c r="AF15" s="96" t="n"/>
    </row>
    <row r="16" ht="15" customHeight="1">
      <c r="B16" s="246" t="inlineStr">
        <is>
          <t>Andy</t>
        </is>
      </c>
      <c r="C16" s="247" t="n"/>
      <c r="D16" s="247" t="n"/>
      <c r="E16" s="247" t="n"/>
      <c r="F16" s="247" t="n"/>
      <c r="G16" s="247" t="n"/>
      <c r="H16" s="247" t="n"/>
      <c r="I16" s="247" t="n"/>
      <c r="J16" s="247" t="n"/>
      <c r="K16" s="247" t="n"/>
      <c r="L16" s="247" t="n"/>
      <c r="M16" s="247" t="n"/>
      <c r="N16" s="247" t="n"/>
      <c r="O16" s="141">
        <f>IFERROR(AVERAGE(Billings_South[[#This Row],[Jan]:[Dec]]),"")</f>
        <v/>
      </c>
      <c r="P16" s="220" t="n"/>
      <c r="Q16" s="176" t="inlineStr">
        <is>
          <t>Grad</t>
        </is>
      </c>
      <c r="R16" s="222" t="n"/>
      <c r="S16" s="22" t="inlineStr">
        <is>
          <t xml:space="preserve">&lt;4.5 </t>
        </is>
      </c>
      <c r="T16" s="24" t="inlineStr">
        <is>
          <t xml:space="preserve">4.5-5 </t>
        </is>
      </c>
      <c r="U16" s="26" t="inlineStr">
        <is>
          <t xml:space="preserve">&gt;5 </t>
        </is>
      </c>
      <c r="V16" s="220" t="n"/>
      <c r="W16" s="220" t="n"/>
      <c r="X16" s="220" t="n"/>
      <c r="Y16" s="220" t="n"/>
      <c r="Z16" s="220" t="n"/>
      <c r="AA16" s="220" t="n"/>
      <c r="AB16" s="220" t="n"/>
      <c r="AC16" s="96" t="n"/>
      <c r="AD16" s="96" t="n"/>
      <c r="AE16" s="96" t="n"/>
      <c r="AF16" s="96" t="n"/>
    </row>
    <row r="17" ht="15" customHeight="1">
      <c r="B17" s="246" t="inlineStr">
        <is>
          <t>Beth</t>
        </is>
      </c>
      <c r="C17" s="247" t="n"/>
      <c r="D17" s="247" t="n"/>
      <c r="E17" s="247" t="n"/>
      <c r="F17" s="247" t="n"/>
      <c r="G17" s="247" t="n"/>
      <c r="H17" s="247" t="n"/>
      <c r="I17" s="247" t="n"/>
      <c r="J17" s="247" t="n"/>
      <c r="K17" s="247" t="n"/>
      <c r="L17" s="247" t="n"/>
      <c r="M17" s="247" t="n"/>
      <c r="N17" s="247" t="n"/>
      <c r="O17" s="141">
        <f>IFERROR(AVERAGE(Billings_South[[#This Row],[Jan]:[Dec]]),"")</f>
        <v/>
      </c>
      <c r="P17" s="220" t="n"/>
      <c r="Q17" s="176" t="inlineStr">
        <is>
          <t>Clinical Associate</t>
        </is>
      </c>
      <c r="R17" s="222" t="n"/>
      <c r="S17" s="22" t="inlineStr">
        <is>
          <t xml:space="preserve">&lt;5 </t>
        </is>
      </c>
      <c r="T17" s="24" t="inlineStr">
        <is>
          <t xml:space="preserve">5-5.4 </t>
        </is>
      </c>
      <c r="U17" s="26" t="inlineStr">
        <is>
          <t xml:space="preserve">&gt;5.4 </t>
        </is>
      </c>
      <c r="V17" s="220" t="n"/>
      <c r="W17" s="220" t="n"/>
      <c r="X17" s="220" t="n"/>
      <c r="Y17" s="220" t="n"/>
      <c r="Z17" s="220" t="n"/>
      <c r="AA17" s="220" t="n"/>
      <c r="AB17" s="220" t="n"/>
      <c r="AC17" s="96" t="n"/>
      <c r="AD17" s="96" t="n"/>
      <c r="AE17" s="96" t="n"/>
      <c r="AF17" s="96" t="n"/>
      <c r="AG17" s="220" t="n"/>
      <c r="AH17" s="220" t="n"/>
    </row>
    <row r="18">
      <c r="B18" s="246" t="inlineStr">
        <is>
          <t>Felina</t>
        </is>
      </c>
      <c r="C18" s="247" t="n"/>
      <c r="D18" s="247" t="n"/>
      <c r="E18" s="247" t="n"/>
      <c r="F18" s="247" t="n"/>
      <c r="G18" s="247" t="n"/>
      <c r="H18" s="247" t="n"/>
      <c r="I18" s="247" t="n"/>
      <c r="J18" s="247" t="n"/>
      <c r="K18" s="247" t="n"/>
      <c r="L18" s="247" t="n"/>
      <c r="M18" s="247" t="n"/>
      <c r="N18" s="247" t="n"/>
      <c r="O18" s="141">
        <f>IFERROR(AVERAGE(Billings_South[[#This Row],[Jan]:[Dec]]),"")</f>
        <v/>
      </c>
      <c r="P18" s="220" t="n"/>
      <c r="Q18" s="176" t="inlineStr">
        <is>
          <t>Senior</t>
        </is>
      </c>
      <c r="R18" s="222" t="n"/>
      <c r="S18" s="22" t="inlineStr">
        <is>
          <t xml:space="preserve">&lt;5.4 </t>
        </is>
      </c>
      <c r="T18" s="24" t="inlineStr">
        <is>
          <t xml:space="preserve">5.4-5.7 </t>
        </is>
      </c>
      <c r="U18" s="26" t="inlineStr">
        <is>
          <t xml:space="preserve">&gt;5.7 </t>
        </is>
      </c>
      <c r="V18" s="220" t="n"/>
      <c r="W18" s="220" t="n"/>
      <c r="X18" s="220" t="n"/>
      <c r="Y18" s="220" t="n"/>
      <c r="Z18" s="220" t="n"/>
      <c r="AA18" s="220" t="n"/>
      <c r="AB18" s="220" t="n"/>
      <c r="AC18" s="96" t="n"/>
      <c r="AD18" s="96" t="n"/>
      <c r="AE18" s="96" t="n"/>
      <c r="AF18" s="96" t="n"/>
      <c r="AG18" s="220" t="n"/>
      <c r="AH18" s="220" t="n"/>
    </row>
    <row r="19">
      <c r="B19" s="246" t="inlineStr">
        <is>
          <t>Janice</t>
        </is>
      </c>
      <c r="C19" s="247" t="n"/>
      <c r="D19" s="247" t="n"/>
      <c r="E19" s="247" t="n"/>
      <c r="F19" s="247" t="n"/>
      <c r="G19" s="247" t="n"/>
      <c r="H19" s="247" t="n"/>
      <c r="I19" s="247" t="n"/>
      <c r="J19" s="247" t="n"/>
      <c r="K19" s="247" t="n"/>
      <c r="L19" s="247" t="n"/>
      <c r="M19" s="247" t="n"/>
      <c r="N19" s="247" t="n"/>
      <c r="O19" s="141">
        <f>IFERROR(AVERAGE(Billings_South[[#This Row],[Jan]:[Dec]]),"")</f>
        <v/>
      </c>
      <c r="P19" s="220" t="n"/>
      <c r="Q19" s="220" t="n"/>
      <c r="R19" s="220" t="n"/>
      <c r="S19" s="220" t="n"/>
      <c r="T19" s="220" t="n"/>
      <c r="U19" s="220" t="n"/>
      <c r="V19" s="220" t="n"/>
      <c r="W19" s="220" t="n"/>
      <c r="X19" s="220" t="n"/>
      <c r="Y19" s="220" t="n"/>
      <c r="Z19" s="220" t="n"/>
      <c r="AA19" s="220" t="n"/>
      <c r="AB19" s="220" t="n"/>
      <c r="AC19" s="96" t="n"/>
      <c r="AD19" s="96" t="n"/>
      <c r="AE19" s="96" t="n"/>
      <c r="AF19" s="96" t="n"/>
      <c r="AG19" s="220" t="n"/>
      <c r="AH19" s="220" t="n"/>
    </row>
    <row r="20">
      <c r="B20" s="246" t="inlineStr">
        <is>
          <t>Raj</t>
        </is>
      </c>
      <c r="C20" s="247" t="n"/>
      <c r="D20" s="247" t="n"/>
      <c r="E20" s="247" t="n"/>
      <c r="F20" s="247" t="n"/>
      <c r="G20" s="247" t="n"/>
      <c r="H20" s="247" t="n"/>
      <c r="I20" s="247" t="n"/>
      <c r="J20" s="247" t="n"/>
      <c r="K20" s="247" t="n"/>
      <c r="L20" s="247" t="n"/>
      <c r="M20" s="247" t="n"/>
      <c r="N20" s="247" t="n"/>
      <c r="O20" s="141">
        <f>IFERROR(AVERAGE(Billings_South[[#This Row],[Jan]:[Dec]]),"")</f>
        <v/>
      </c>
      <c r="P20" s="220" t="n"/>
      <c r="Q20" s="91" t="n"/>
      <c r="R20" s="91" t="n"/>
      <c r="S20" s="91" t="n"/>
      <c r="T20" s="91" t="n"/>
      <c r="U20" s="91" t="n"/>
      <c r="V20" s="91" t="n"/>
      <c r="W20" s="91" t="n"/>
      <c r="X20" s="220" t="n"/>
      <c r="Y20" s="220" t="n"/>
      <c r="Z20" s="220" t="n"/>
      <c r="AA20" s="220" t="n"/>
      <c r="AB20" s="220" t="n"/>
      <c r="AC20" s="220" t="n"/>
      <c r="AD20" s="220" t="n"/>
      <c r="AE20" s="220" t="n"/>
      <c r="AF20" s="220" t="n"/>
      <c r="AG20" s="220" t="n"/>
      <c r="AH20" s="220" t="n"/>
    </row>
    <row r="21">
      <c r="B21" s="246" t="inlineStr">
        <is>
          <t>Steph</t>
        </is>
      </c>
      <c r="C21" s="247" t="n"/>
      <c r="D21" s="247" t="n"/>
      <c r="E21" s="247" t="n"/>
      <c r="F21" s="247" t="n"/>
      <c r="G21" s="247" t="n"/>
      <c r="H21" s="247" t="n"/>
      <c r="I21" s="247" t="n"/>
      <c r="J21" s="247" t="n"/>
      <c r="K21" s="247" t="n"/>
      <c r="L21" s="247" t="n"/>
      <c r="M21" s="247" t="n"/>
      <c r="N21" s="247" t="n"/>
      <c r="O21" s="141">
        <f>IFERROR(AVERAGE(Billings_South[[#This Row],[Jan]:[Dec]]),"")</f>
        <v/>
      </c>
      <c r="P21" s="220" t="n"/>
      <c r="Q21" s="180" t="inlineStr">
        <is>
          <t>Ceased Services</t>
        </is>
      </c>
      <c r="R21" s="230" t="n"/>
      <c r="S21" s="230" t="n"/>
      <c r="T21" s="230" t="n"/>
      <c r="U21" s="224" t="n"/>
      <c r="V21" s="91" t="n"/>
      <c r="W21" s="91" t="n"/>
      <c r="X21" s="91" t="n"/>
      <c r="Y21" s="91" t="n"/>
      <c r="Z21" s="91" t="n"/>
      <c r="AA21" s="91" t="n"/>
      <c r="AB21" s="96" t="n"/>
      <c r="AC21" s="220" t="n"/>
      <c r="AD21" s="220" t="n"/>
      <c r="AE21" s="220" t="n"/>
      <c r="AF21" s="220" t="n"/>
      <c r="AG21" s="220" t="n"/>
      <c r="AH21" s="220" t="n"/>
    </row>
    <row r="22">
      <c r="B22" s="246" t="inlineStr">
        <is>
          <t>Vincent</t>
        </is>
      </c>
      <c r="C22" s="247" t="n"/>
      <c r="D22" s="249" t="n"/>
      <c r="E22" s="249" t="n"/>
      <c r="F22" s="249" t="n"/>
      <c r="G22" s="249" t="n"/>
      <c r="H22" s="249" t="n"/>
      <c r="I22" s="247" t="n"/>
      <c r="J22" s="249" t="n"/>
      <c r="K22" s="249" t="n"/>
      <c r="L22" s="249" t="n"/>
      <c r="M22" s="249" t="n"/>
      <c r="N22" s="249" t="n"/>
      <c r="O22" s="141">
        <f>IFERROR(AVERAGE(Billings_South[[#This Row],[Jan]:[Dec]]),"")</f>
        <v/>
      </c>
      <c r="P22" s="220" t="n"/>
      <c r="Q22" s="175" t="inlineStr">
        <is>
          <t xml:space="preserve"> Ceased Clients ÷ Active Clients (excluding respite &amp; deceased)</t>
        </is>
      </c>
      <c r="R22" s="236" t="n"/>
      <c r="S22" s="236" t="n"/>
      <c r="T22" s="236" t="n"/>
      <c r="U22" s="237" t="n"/>
      <c r="V22" s="91" t="n"/>
      <c r="W22" s="91" t="n"/>
      <c r="X22" s="91" t="n"/>
      <c r="Y22" s="91" t="n"/>
      <c r="Z22" s="91" t="n"/>
      <c r="AA22" s="91" t="n"/>
      <c r="AB22" s="96" t="n"/>
      <c r="AC22" s="220" t="n"/>
      <c r="AD22" s="220" t="n"/>
      <c r="AE22" s="220" t="n"/>
      <c r="AF22" s="220" t="n"/>
      <c r="AG22" s="220" t="n"/>
      <c r="AH22" s="220" t="n"/>
    </row>
    <row r="23">
      <c r="B23" s="246" t="inlineStr">
        <is>
          <t>Kate</t>
        </is>
      </c>
      <c r="C23" s="247" t="n"/>
      <c r="D23" s="247" t="n"/>
      <c r="E23" s="247" t="n"/>
      <c r="F23" s="247" t="n"/>
      <c r="G23" s="247" t="n"/>
      <c r="H23" s="247" t="n"/>
      <c r="I23" s="247" t="n"/>
      <c r="J23" s="247" t="n"/>
      <c r="K23" s="247" t="n"/>
      <c r="L23" s="247" t="n"/>
      <c r="M23" s="247" t="n"/>
      <c r="N23" s="247" t="n"/>
      <c r="O23" s="141">
        <f>IFERROR(AVERAGE(Billings_South[[#This Row],[Jan]:[Dec]]),"")</f>
        <v/>
      </c>
      <c r="P23" s="220" t="n"/>
      <c r="Q23" s="234" t="n"/>
      <c r="R23" s="228" t="n"/>
      <c r="S23" s="228" t="n"/>
      <c r="T23" s="228" t="n"/>
      <c r="U23" s="229" t="n"/>
      <c r="V23" s="91" t="n"/>
      <c r="W23" s="91" t="n"/>
      <c r="X23" s="91" t="n"/>
      <c r="Y23" s="91" t="n"/>
      <c r="Z23" s="91" t="n"/>
      <c r="AA23" s="220" t="n"/>
      <c r="AB23" s="220" t="n"/>
      <c r="AC23" s="220" t="n"/>
      <c r="AD23" s="220" t="n"/>
      <c r="AE23" s="220" t="n"/>
      <c r="AF23" s="220" t="n"/>
      <c r="AG23" s="220" t="n"/>
      <c r="AH23" s="220" t="n"/>
    </row>
    <row r="24">
      <c r="B24" s="248" t="inlineStr">
        <is>
          <t>Shirley</t>
        </is>
      </c>
      <c r="C24" s="247" t="n"/>
      <c r="D24" s="247" t="n"/>
      <c r="E24" s="247" t="n"/>
      <c r="F24" s="247" t="n"/>
      <c r="G24" s="247" t="n"/>
      <c r="H24" s="247" t="n"/>
      <c r="I24" s="247" t="n"/>
      <c r="J24" s="247" t="n"/>
      <c r="K24" s="247" t="n"/>
      <c r="L24" s="247" t="n"/>
      <c r="M24" s="247" t="n"/>
      <c r="N24" s="247" t="n"/>
      <c r="O24" s="140">
        <f>IFERROR(AVERAGE(Billings_South[[#This Row],[Jan]:[Dec]]),"")</f>
        <v/>
      </c>
      <c r="P24" s="91" t="n"/>
      <c r="Q24" s="178" t="inlineStr">
        <is>
          <t>&lt;2.5</t>
        </is>
      </c>
      <c r="R24" s="226" t="n"/>
      <c r="S24" s="186" t="inlineStr">
        <is>
          <t>Excellent</t>
        </is>
      </c>
      <c r="T24" s="236" t="n"/>
      <c r="U24" s="237" t="n"/>
      <c r="V24" s="91" t="n"/>
      <c r="W24" s="91" t="n"/>
      <c r="X24" s="91" t="n"/>
      <c r="Y24" s="91" t="n"/>
      <c r="Z24" s="91" t="n"/>
      <c r="AA24" s="91" t="n"/>
      <c r="AB24" s="91" t="n"/>
      <c r="AC24" s="91" t="n"/>
      <c r="AD24" s="91" t="n"/>
      <c r="AE24" s="91" t="n"/>
      <c r="AF24" s="220" t="n"/>
      <c r="AG24" s="220" t="n"/>
      <c r="AH24" s="220" t="n"/>
    </row>
    <row r="25" ht="17.25" customHeight="1">
      <c r="B25" s="220" t="n"/>
      <c r="C25" s="94" t="n"/>
      <c r="D25" s="94" t="n"/>
      <c r="E25" s="94" t="n"/>
      <c r="F25" s="94" t="n"/>
      <c r="G25" s="94" t="n"/>
      <c r="H25" s="94" t="n"/>
      <c r="I25" s="94" t="n"/>
      <c r="J25" s="94" t="n"/>
      <c r="K25" s="142" t="n"/>
      <c r="L25" s="94" t="n"/>
      <c r="M25" s="139" t="n"/>
      <c r="N25" s="139" t="n"/>
      <c r="O25" s="139" t="n"/>
      <c r="P25" s="220" t="n"/>
      <c r="Q25" s="178" t="inlineStr">
        <is>
          <t>2.5-4</t>
        </is>
      </c>
      <c r="R25" s="226" t="n"/>
      <c r="S25" s="195" t="inlineStr">
        <is>
          <t>Good</t>
        </is>
      </c>
      <c r="U25" s="226" t="n"/>
      <c r="V25" s="91" t="n"/>
      <c r="W25" s="91" t="n"/>
      <c r="X25" s="91" t="n"/>
      <c r="Y25" s="91" t="n"/>
      <c r="Z25" s="91" t="n"/>
      <c r="AA25" s="91" t="n"/>
      <c r="AB25" s="91" t="n"/>
      <c r="AC25" s="91" t="n"/>
      <c r="AD25" s="91" t="n"/>
      <c r="AE25" s="91" t="n"/>
      <c r="AF25" s="220" t="n"/>
      <c r="AG25" s="220" t="n"/>
      <c r="AH25" s="220" t="n"/>
    </row>
    <row r="26" ht="14.45" customHeight="1">
      <c r="B26" s="88" t="inlineStr">
        <is>
          <t>Ceased Services</t>
        </is>
      </c>
      <c r="C26" s="133" t="inlineStr">
        <is>
          <t>Jan</t>
        </is>
      </c>
      <c r="D26" s="133" t="inlineStr">
        <is>
          <t>Feb</t>
        </is>
      </c>
      <c r="E26" s="133" t="inlineStr">
        <is>
          <t>Mar</t>
        </is>
      </c>
      <c r="F26" s="133" t="inlineStr">
        <is>
          <t>Apr</t>
        </is>
      </c>
      <c r="G26" s="133" t="inlineStr">
        <is>
          <t>May</t>
        </is>
      </c>
      <c r="H26" s="133" t="inlineStr">
        <is>
          <t>June</t>
        </is>
      </c>
      <c r="I26" s="133" t="inlineStr">
        <is>
          <t>July</t>
        </is>
      </c>
      <c r="J26" s="133" t="inlineStr">
        <is>
          <t>Aug</t>
        </is>
      </c>
      <c r="K26" s="133" t="inlineStr">
        <is>
          <t>Sept</t>
        </is>
      </c>
      <c r="L26" s="133" t="inlineStr">
        <is>
          <t>Oct</t>
        </is>
      </c>
      <c r="M26" s="133" t="inlineStr">
        <is>
          <t>Nov</t>
        </is>
      </c>
      <c r="N26" s="133" t="inlineStr">
        <is>
          <t>Dec</t>
        </is>
      </c>
      <c r="O26" s="133" t="inlineStr">
        <is>
          <t>Average</t>
        </is>
      </c>
      <c r="P26" s="220" t="n"/>
      <c r="Q26" s="189" t="inlineStr">
        <is>
          <t>&gt;4</t>
        </is>
      </c>
      <c r="R26" s="229" t="n"/>
      <c r="S26" s="193" t="inlineStr">
        <is>
          <t>Below</t>
        </is>
      </c>
      <c r="T26" s="228" t="n"/>
      <c r="U26" s="229" t="n"/>
      <c r="V26" s="13" t="n"/>
      <c r="W26" s="91" t="n"/>
      <c r="X26" s="91" t="n"/>
      <c r="Y26" s="91" t="n"/>
      <c r="Z26" s="91" t="n"/>
      <c r="AA26" s="91" t="n"/>
      <c r="AB26" s="96" t="n"/>
      <c r="AC26" s="91" t="n"/>
      <c r="AD26" s="91" t="n"/>
      <c r="AE26" s="91" t="n"/>
      <c r="AF26" s="91" t="n"/>
      <c r="AG26" s="91" t="n"/>
      <c r="AH26" s="220" t="n"/>
    </row>
    <row r="27">
      <c r="B27" s="250" t="inlineStr">
        <is>
          <t>Tom</t>
        </is>
      </c>
      <c r="C27" s="251" t="n"/>
      <c r="D27" s="251" t="n"/>
      <c r="E27" s="251" t="n"/>
      <c r="F27" s="251" t="n"/>
      <c r="G27" s="251" t="n"/>
      <c r="H27" s="251" t="n"/>
      <c r="I27" s="251" t="n"/>
      <c r="J27" s="251" t="n"/>
      <c r="K27" s="251" t="n"/>
      <c r="L27" s="251" t="n"/>
      <c r="M27" s="251" t="n"/>
      <c r="N27" s="251" t="n"/>
      <c r="O27" s="143">
        <f>IFERROR(AVERAGE(Ceased_South[[#This Row],[Jan]:[Dec]]),"")</f>
        <v/>
      </c>
      <c r="P27" s="220" t="n"/>
      <c r="Q27" s="91" t="n"/>
      <c r="R27" s="91" t="n"/>
      <c r="S27" s="91" t="n"/>
      <c r="T27" s="91" t="n"/>
      <c r="U27" s="91" t="n"/>
      <c r="V27" s="91" t="n"/>
      <c r="W27" s="91" t="n"/>
      <c r="X27" s="91" t="n"/>
      <c r="Y27" s="91" t="n"/>
      <c r="Z27" s="91" t="n"/>
      <c r="AA27" s="91" t="n"/>
      <c r="AB27" s="91" t="n"/>
      <c r="AC27" s="91" t="n"/>
      <c r="AD27" s="91" t="n"/>
      <c r="AE27" s="91" t="n"/>
      <c r="AF27" s="91" t="n"/>
      <c r="AG27" s="91" t="n"/>
      <c r="AH27" s="220" t="n"/>
    </row>
    <row r="28">
      <c r="B28" s="252" t="inlineStr">
        <is>
          <t>Maddie</t>
        </is>
      </c>
      <c r="C28" s="253" t="n"/>
      <c r="D28" s="253" t="n"/>
      <c r="E28" s="253" t="n"/>
      <c r="F28" s="253" t="n"/>
      <c r="G28" s="251" t="n"/>
      <c r="H28" s="251" t="n"/>
      <c r="I28" s="251" t="n"/>
      <c r="J28" s="251" t="n"/>
      <c r="K28" s="251" t="n"/>
      <c r="L28" s="251" t="n"/>
      <c r="M28" s="251" t="n"/>
      <c r="N28" s="251" t="n"/>
      <c r="O28" s="143">
        <f>IFERROR(AVERAGE(Ceased_South[[#This Row],[Jan]:[Dec]]),"")</f>
        <v/>
      </c>
      <c r="P28" s="220" t="n"/>
      <c r="Q28" s="91" t="n"/>
      <c r="R28" s="91" t="n"/>
      <c r="S28" s="91" t="n"/>
      <c r="T28" s="91" t="n"/>
      <c r="U28" s="91" t="n"/>
      <c r="V28" s="91" t="n"/>
      <c r="W28" s="91" t="n"/>
      <c r="X28" s="96" t="n"/>
      <c r="Y28" s="220" t="n"/>
      <c r="Z28" s="220" t="n"/>
      <c r="AA28" s="220" t="n"/>
      <c r="AB28" s="220" t="n"/>
      <c r="AC28" s="220" t="n"/>
      <c r="AD28" s="220" t="n"/>
      <c r="AE28" s="220" t="n"/>
      <c r="AF28" s="220" t="n"/>
      <c r="AG28" s="220" t="n"/>
      <c r="AH28" s="220" t="n"/>
    </row>
    <row r="29" ht="14.45" customHeight="1">
      <c r="B29" s="250" t="inlineStr">
        <is>
          <t>Andy</t>
        </is>
      </c>
      <c r="C29" s="253" t="n"/>
      <c r="D29" s="253" t="n"/>
      <c r="E29" s="253" t="n"/>
      <c r="F29" s="253" t="n"/>
      <c r="G29" s="251" t="n"/>
      <c r="H29" s="251" t="n"/>
      <c r="I29" s="251" t="n"/>
      <c r="J29" s="251" t="n"/>
      <c r="K29" s="251" t="n"/>
      <c r="L29" s="251" t="n"/>
      <c r="M29" s="251" t="n"/>
      <c r="N29" s="251" t="n"/>
      <c r="O29" s="145">
        <f>IFERROR(AVERAGE(Ceased_South[[#This Row],[Jan]:[Dec]]),"")</f>
        <v/>
      </c>
      <c r="P29" s="220" t="n"/>
      <c r="Q29" s="188" t="inlineStr">
        <is>
          <t>Documentation</t>
        </is>
      </c>
      <c r="R29" s="236" t="n"/>
      <c r="S29" s="236" t="n"/>
      <c r="T29" s="236" t="n"/>
      <c r="U29" s="231" t="n"/>
      <c r="V29" s="91" t="n"/>
      <c r="W29" s="91" t="n"/>
      <c r="X29" s="91" t="n"/>
      <c r="Y29" s="91" t="n"/>
      <c r="Z29" s="91" t="n"/>
      <c r="AA29" s="91" t="n"/>
      <c r="AB29" s="220" t="n"/>
      <c r="AC29" s="220" t="n"/>
      <c r="AD29" s="220" t="n"/>
      <c r="AE29" s="220" t="n"/>
      <c r="AF29" s="220" t="n"/>
      <c r="AG29" s="220" t="n"/>
      <c r="AH29" s="220" t="n"/>
    </row>
    <row r="30" ht="14.45" customHeight="1">
      <c r="B30" s="250" t="inlineStr">
        <is>
          <t>Beth</t>
        </is>
      </c>
      <c r="C30" s="253" t="n"/>
      <c r="D30" s="253" t="n"/>
      <c r="E30" s="253" t="n"/>
      <c r="F30" s="253" t="n"/>
      <c r="G30" s="251" t="n"/>
      <c r="H30" s="251" t="n"/>
      <c r="I30" s="251" t="n"/>
      <c r="J30" s="251" t="n"/>
      <c r="K30" s="251" t="n"/>
      <c r="L30" s="251" t="n"/>
      <c r="M30" s="251" t="n"/>
      <c r="N30" s="251" t="n"/>
      <c r="O30" s="145">
        <f>IFERROR(AVERAGE(Ceased_South[[#This Row],[Jan]:[Dec]]),"")</f>
        <v/>
      </c>
      <c r="P30" s="220" t="n"/>
      <c r="Q30" s="196" t="inlineStr">
        <is>
          <t xml:space="preserve">Clinical notes, service agreements, and reports. </t>
        </is>
      </c>
      <c r="R30" s="238" t="n"/>
      <c r="S30" s="238" t="n"/>
      <c r="T30" s="238" t="n"/>
      <c r="U30" s="239" t="n"/>
      <c r="V30" s="91" t="n"/>
      <c r="W30" s="91" t="n"/>
      <c r="X30" s="91" t="n"/>
      <c r="Y30" s="91" t="n"/>
      <c r="Z30" s="91" t="n"/>
      <c r="AA30" s="91" t="n"/>
      <c r="AB30" s="220" t="n"/>
      <c r="AC30" s="220" t="n"/>
      <c r="AD30" s="220" t="n"/>
      <c r="AE30" s="220" t="n"/>
      <c r="AF30" s="220" t="n"/>
      <c r="AG30" s="220" t="n"/>
      <c r="AH30" s="220" t="n"/>
    </row>
    <row r="31">
      <c r="B31" s="250" t="inlineStr">
        <is>
          <t>Felina</t>
        </is>
      </c>
      <c r="C31" s="253" t="n"/>
      <c r="D31" s="253" t="n"/>
      <c r="E31" s="253" t="n"/>
      <c r="F31" s="253" t="n"/>
      <c r="G31" s="251" t="n"/>
      <c r="H31" s="251" t="n"/>
      <c r="I31" s="251" t="n"/>
      <c r="J31" s="251" t="n"/>
      <c r="K31" s="251" t="n"/>
      <c r="L31" s="251" t="n"/>
      <c r="M31" s="251" t="n"/>
      <c r="N31" s="251" t="n"/>
      <c r="O31" s="145">
        <f>IFERROR(AVERAGE(Ceased_South[[#This Row],[Jan]:[Dec]]),"")</f>
        <v/>
      </c>
      <c r="P31" s="220" t="n"/>
      <c r="Q31" s="11" t="n">
        <v>5</v>
      </c>
      <c r="R31" s="12" t="n"/>
      <c r="S31" s="181" t="inlineStr">
        <is>
          <t>Excellent</t>
        </is>
      </c>
      <c r="T31" s="236" t="n"/>
      <c r="U31" s="236" t="n"/>
      <c r="V31" s="11" t="inlineStr">
        <is>
          <t>Notes/reports completed on time, accurate, clinically sound, and advocate for client. Service agreements up to date.</t>
        </is>
      </c>
      <c r="W31" s="30" t="n"/>
      <c r="X31" s="30" t="n"/>
      <c r="Y31" s="30" t="n"/>
      <c r="Z31" s="30" t="n"/>
      <c r="AA31" s="30" t="n"/>
      <c r="AB31" s="31" t="n"/>
      <c r="AC31" s="31" t="n"/>
      <c r="AD31" s="31" t="n"/>
      <c r="AE31" s="31" t="n"/>
      <c r="AF31" s="31" t="n"/>
      <c r="AG31" s="31" t="n"/>
      <c r="AH31" s="32" t="n"/>
    </row>
    <row r="32">
      <c r="B32" s="250" t="inlineStr">
        <is>
          <t>Janice</t>
        </is>
      </c>
      <c r="C32" s="253" t="n"/>
      <c r="D32" s="253" t="n"/>
      <c r="E32" s="253" t="n"/>
      <c r="F32" s="253" t="n"/>
      <c r="G32" s="251" t="n"/>
      <c r="H32" s="251" t="n"/>
      <c r="I32" s="251" t="n"/>
      <c r="J32" s="251" t="n"/>
      <c r="K32" s="251" t="n"/>
      <c r="L32" s="251" t="n"/>
      <c r="M32" s="251" t="n"/>
      <c r="N32" s="251" t="n"/>
      <c r="O32" s="145">
        <f>IFERROR(AVERAGE(Ceased_South[[#This Row],[Jan]:[Dec]]),"")</f>
        <v/>
      </c>
      <c r="P32" s="220" t="n"/>
      <c r="Q32" s="13" t="n">
        <v>4</v>
      </c>
      <c r="R32" s="14" t="n"/>
      <c r="S32" s="192" t="inlineStr">
        <is>
          <t>Very Good</t>
        </is>
      </c>
      <c r="V32" s="13" t="inlineStr">
        <is>
          <t xml:space="preserve">Notes/reports generally completed on time and of good quality. Service agreements mostly up to date. </t>
        </is>
      </c>
      <c r="W32" s="91" t="n"/>
      <c r="X32" s="91" t="n"/>
      <c r="Y32" s="91" t="n"/>
      <c r="Z32" s="91" t="n"/>
      <c r="AA32" s="91" t="n"/>
      <c r="AB32" s="220" t="n"/>
      <c r="AC32" s="220" t="n"/>
      <c r="AD32" s="220" t="n"/>
      <c r="AE32" s="220" t="n"/>
      <c r="AF32" s="220" t="n"/>
      <c r="AG32" s="220" t="n"/>
      <c r="AH32" s="34" t="n"/>
    </row>
    <row r="33">
      <c r="B33" s="250" t="inlineStr">
        <is>
          <t>Raj</t>
        </is>
      </c>
      <c r="C33" s="253" t="n"/>
      <c r="D33" s="253" t="n"/>
      <c r="E33" s="253" t="n"/>
      <c r="F33" s="253" t="n"/>
      <c r="G33" s="251" t="n"/>
      <c r="H33" s="251" t="n"/>
      <c r="I33" s="251" t="n"/>
      <c r="J33" s="251" t="n"/>
      <c r="K33" s="251" t="n"/>
      <c r="L33" s="251" t="n"/>
      <c r="M33" s="251" t="n"/>
      <c r="N33" s="251" t="n"/>
      <c r="O33" s="145">
        <f>IFERROR(AVERAGE(Ceased_South[[#This Row],[Jan]:[Dec]]),"")</f>
        <v/>
      </c>
      <c r="P33" s="220" t="n"/>
      <c r="Q33" s="13" t="n">
        <v>3</v>
      </c>
      <c r="R33" s="14" t="n"/>
      <c r="S33" s="185" t="inlineStr">
        <is>
          <t>In Progress</t>
        </is>
      </c>
      <c r="V33" s="13" t="inlineStr">
        <is>
          <t>Notes/reports mostly on time. Clinical quality is developing, occasional revisions. Some service agreements need follow-up.</t>
        </is>
      </c>
      <c r="W33" s="91" t="n"/>
      <c r="X33" s="91" t="n"/>
      <c r="Y33" s="91" t="n"/>
      <c r="Z33" s="91" t="n"/>
      <c r="AA33" s="91" t="n"/>
      <c r="AB33" s="220" t="n"/>
      <c r="AC33" s="220" t="n"/>
      <c r="AD33" s="220" t="n"/>
      <c r="AE33" s="220" t="n"/>
      <c r="AF33" s="220" t="n"/>
      <c r="AG33" s="220" t="n"/>
      <c r="AH33" s="34" t="n"/>
    </row>
    <row r="34">
      <c r="B34" s="250" t="inlineStr">
        <is>
          <t>Steph</t>
        </is>
      </c>
      <c r="C34" s="253" t="n"/>
      <c r="D34" s="253" t="n"/>
      <c r="E34" s="253" t="n"/>
      <c r="F34" s="253" t="n"/>
      <c r="G34" s="251" t="n"/>
      <c r="H34" s="251" t="n"/>
      <c r="I34" s="251" t="n"/>
      <c r="J34" s="251" t="n"/>
      <c r="K34" s="251" t="n"/>
      <c r="L34" s="251" t="n"/>
      <c r="M34" s="251" t="n"/>
      <c r="N34" s="251" t="n"/>
      <c r="O34" s="145">
        <f>IFERROR(AVERAGE(Ceased_South[[#This Row],[Jan]:[Dec]]),"")</f>
        <v/>
      </c>
      <c r="P34" s="220" t="n"/>
      <c r="Q34" s="13" t="n">
        <v>2</v>
      </c>
      <c r="R34" s="14" t="n"/>
      <c r="S34" s="182" t="inlineStr">
        <is>
          <t>Needs Improvement</t>
        </is>
      </c>
      <c r="V34" s="13" t="inlineStr">
        <is>
          <t xml:space="preserve">Frequent delays in documentation. Clinical quality inconsistent, most service agreements not up to date.  </t>
        </is>
      </c>
      <c r="W34" s="91" t="n"/>
      <c r="X34" s="91" t="n"/>
      <c r="Y34" s="91" t="n"/>
      <c r="Z34" s="91" t="n"/>
      <c r="AA34" s="91" t="n"/>
      <c r="AB34" s="220" t="n"/>
      <c r="AC34" s="220" t="n"/>
      <c r="AD34" s="220" t="n"/>
      <c r="AE34" s="220" t="n"/>
      <c r="AF34" s="220" t="n"/>
      <c r="AG34" s="220" t="n"/>
      <c r="AH34" s="34" t="n"/>
    </row>
    <row r="35">
      <c r="B35" s="250" t="inlineStr">
        <is>
          <t>Vincent</t>
        </is>
      </c>
      <c r="C35" s="253" t="n"/>
      <c r="D35" s="253" t="n"/>
      <c r="E35" s="253" t="n"/>
      <c r="F35" s="253" t="n"/>
      <c r="G35" s="251" t="n"/>
      <c r="H35" s="251" t="n"/>
      <c r="I35" s="251" t="n"/>
      <c r="J35" s="251" t="n"/>
      <c r="K35" s="251" t="n"/>
      <c r="L35" s="251" t="n"/>
      <c r="M35" s="251" t="n"/>
      <c r="N35" s="251" t="n"/>
      <c r="O35" s="145">
        <f>IFERROR(AVERAGE(Ceased_South[[#This Row],[Jan]:[Dec]]),"")</f>
        <v/>
      </c>
      <c r="P35" s="220" t="n"/>
      <c r="Q35" s="15" t="n">
        <v>1</v>
      </c>
      <c r="R35" s="16" t="n"/>
      <c r="S35" s="190" t="inlineStr">
        <is>
          <t>Unsatisfactory</t>
        </is>
      </c>
      <c r="T35" s="240" t="n"/>
      <c r="U35" s="240" t="n"/>
      <c r="V35" s="15" t="inlineStr">
        <is>
          <t>Notes and reports regularly late or missing. Clinical quality below standard. Service agreements not maintained.</t>
        </is>
      </c>
      <c r="W35" s="36" t="n"/>
      <c r="X35" s="36" t="n"/>
      <c r="Y35" s="36" t="n"/>
      <c r="Z35" s="36" t="n"/>
      <c r="AA35" s="36" t="n"/>
      <c r="AB35" s="37" t="n"/>
      <c r="AC35" s="37" t="n"/>
      <c r="AD35" s="37" t="n"/>
      <c r="AE35" s="37" t="n"/>
      <c r="AF35" s="37" t="n"/>
      <c r="AG35" s="37" t="n"/>
      <c r="AH35" s="38" t="n"/>
    </row>
    <row r="36">
      <c r="B36" s="250" t="inlineStr">
        <is>
          <t>Kate</t>
        </is>
      </c>
      <c r="C36" s="253" t="n"/>
      <c r="D36" s="253" t="n"/>
      <c r="E36" s="253" t="n"/>
      <c r="F36" s="253" t="n"/>
      <c r="G36" s="251" t="n"/>
      <c r="H36" s="251" t="n"/>
      <c r="I36" s="251" t="n"/>
      <c r="J36" s="251" t="n"/>
      <c r="K36" s="251" t="n"/>
      <c r="L36" s="251" t="n"/>
      <c r="M36" s="251" t="n"/>
      <c r="N36" s="251" t="n"/>
      <c r="O36" s="145">
        <f>IFERROR(AVERAGE(Ceased_South[[#This Row],[Jan]:[Dec]]),"")</f>
        <v/>
      </c>
      <c r="P36" s="91" t="n"/>
      <c r="Q36" s="220" t="n"/>
      <c r="R36" s="220" t="n"/>
      <c r="S36" s="220" t="n"/>
      <c r="T36" s="220" t="n"/>
      <c r="U36" s="220" t="n"/>
      <c r="V36" s="220" t="n"/>
      <c r="W36" s="220" t="n"/>
      <c r="X36" s="91" t="n"/>
      <c r="Y36" s="91" t="n"/>
      <c r="Z36" s="91" t="n"/>
      <c r="AA36" s="91" t="n"/>
      <c r="AB36" s="220" t="n"/>
      <c r="AC36" s="220" t="n"/>
      <c r="AD36" s="220" t="n"/>
      <c r="AE36" s="220" t="n"/>
      <c r="AF36" s="220" t="n"/>
      <c r="AG36" s="220" t="n"/>
      <c r="AH36" s="220" t="n"/>
    </row>
    <row r="37" ht="14.45" customHeight="1">
      <c r="B37" s="252" t="inlineStr">
        <is>
          <t>Shirley</t>
        </is>
      </c>
      <c r="C37" s="253" t="n"/>
      <c r="D37" s="253" t="n"/>
      <c r="E37" s="253" t="n"/>
      <c r="F37" s="253" t="n"/>
      <c r="G37" s="251" t="n"/>
      <c r="H37" s="251" t="n"/>
      <c r="I37" s="251" t="n"/>
      <c r="J37" s="251" t="n"/>
      <c r="K37" s="251" t="n"/>
      <c r="L37" s="251" t="n"/>
      <c r="M37" s="251" t="n"/>
      <c r="N37" s="251" t="n"/>
      <c r="O37" s="143">
        <f>IFERROR(AVERAGE(Ceased_South[[#This Row],[Jan]:[Dec]]),"")</f>
        <v/>
      </c>
      <c r="P37" s="220" t="n"/>
      <c r="Q37" s="220" t="n"/>
      <c r="R37" s="220" t="n"/>
      <c r="S37" s="220" t="n"/>
      <c r="T37" s="91" t="n"/>
      <c r="U37" s="91" t="n"/>
      <c r="V37" s="91" t="n"/>
      <c r="W37" s="91" t="n"/>
      <c r="X37" s="220" t="n"/>
      <c r="Y37" s="220" t="n"/>
      <c r="Z37" s="220" t="n"/>
      <c r="AA37" s="220" t="n"/>
      <c r="AB37" s="220" t="n"/>
      <c r="AC37" s="220" t="n"/>
      <c r="AD37" s="220" t="n"/>
      <c r="AE37" s="220" t="n"/>
      <c r="AF37" s="220" t="n"/>
      <c r="AG37" s="220" t="n"/>
      <c r="AH37" s="220" t="n"/>
    </row>
    <row r="38">
      <c r="B38" s="220" t="n"/>
      <c r="C38" s="94" t="n"/>
      <c r="D38" s="94" t="n"/>
      <c r="E38" s="94" t="n"/>
      <c r="F38" s="94" t="n"/>
      <c r="G38" s="94" t="n"/>
      <c r="H38" s="94" t="n"/>
      <c r="I38" s="94" t="n"/>
      <c r="J38" s="94" t="n"/>
      <c r="K38" s="94" t="n"/>
      <c r="L38" s="94" t="n"/>
      <c r="M38" s="139" t="n"/>
      <c r="N38" s="139" t="n"/>
      <c r="O38" s="139" t="n"/>
      <c r="P38" s="220" t="n"/>
      <c r="Q38" s="177" t="inlineStr">
        <is>
          <t>Admin &amp; Operational Efficiency</t>
        </is>
      </c>
      <c r="R38" s="221" t="n"/>
      <c r="S38" s="221" t="n"/>
      <c r="T38" s="221" t="n"/>
      <c r="U38" s="222" t="n"/>
      <c r="V38" s="91" t="n"/>
      <c r="W38" s="91" t="n"/>
      <c r="X38" s="220" t="n"/>
      <c r="Y38" s="220" t="n"/>
      <c r="Z38" s="91" t="n"/>
      <c r="AA38" s="91" t="n"/>
      <c r="AB38" s="220" t="n"/>
      <c r="AC38" s="220" t="n"/>
      <c r="AD38" s="220" t="n"/>
      <c r="AE38" s="220" t="n"/>
      <c r="AF38" s="220" t="n"/>
      <c r="AG38" s="220" t="n"/>
      <c r="AH38" s="220" t="n"/>
    </row>
    <row r="39">
      <c r="B39" s="88" t="inlineStr">
        <is>
          <t>Documentation</t>
        </is>
      </c>
      <c r="C39" s="133" t="inlineStr">
        <is>
          <t>Jan</t>
        </is>
      </c>
      <c r="D39" s="133" t="inlineStr">
        <is>
          <t>Feb</t>
        </is>
      </c>
      <c r="E39" s="133" t="inlineStr">
        <is>
          <t>Mar</t>
        </is>
      </c>
      <c r="F39" s="133" t="inlineStr">
        <is>
          <t>Apr</t>
        </is>
      </c>
      <c r="G39" s="133" t="inlineStr">
        <is>
          <t>May</t>
        </is>
      </c>
      <c r="H39" s="133" t="inlineStr">
        <is>
          <t>June</t>
        </is>
      </c>
      <c r="I39" s="133" t="inlineStr">
        <is>
          <t>July</t>
        </is>
      </c>
      <c r="J39" s="133" t="inlineStr">
        <is>
          <t>Aug</t>
        </is>
      </c>
      <c r="K39" s="133" t="inlineStr">
        <is>
          <t>Sept</t>
        </is>
      </c>
      <c r="L39" s="133" t="inlineStr">
        <is>
          <t>Oct</t>
        </is>
      </c>
      <c r="M39" s="133" t="inlineStr">
        <is>
          <t>Nov</t>
        </is>
      </c>
      <c r="N39" s="133" t="inlineStr">
        <is>
          <t>Dec</t>
        </is>
      </c>
      <c r="O39" s="133" t="inlineStr">
        <is>
          <t>Average</t>
        </is>
      </c>
      <c r="P39" s="220" t="n"/>
      <c r="Q39" s="183" t="inlineStr">
        <is>
          <t xml:space="preserve">Admin responsiveness, scheduling and bookings, service in Zanda, travel efficiency. </t>
        </is>
      </c>
      <c r="R39" s="236" t="n"/>
      <c r="S39" s="236" t="n"/>
      <c r="T39" s="236" t="n"/>
      <c r="U39" s="231" t="n"/>
      <c r="V39" s="91" t="n"/>
      <c r="W39" s="91" t="n"/>
      <c r="X39" s="220" t="n"/>
      <c r="Y39" s="220" t="n"/>
      <c r="Z39" s="91" t="n"/>
      <c r="AA39" s="91" t="n"/>
      <c r="AB39" s="220" t="n"/>
      <c r="AC39" s="220" t="n"/>
      <c r="AD39" s="220" t="n"/>
      <c r="AE39" s="220" t="n"/>
      <c r="AF39" s="220" t="n"/>
      <c r="AG39" s="220" t="n"/>
      <c r="AH39" s="220" t="n"/>
    </row>
    <row r="40">
      <c r="B40" s="250" t="inlineStr">
        <is>
          <t>Tom</t>
        </is>
      </c>
      <c r="C40" s="247" t="n"/>
      <c r="D40" s="247" t="n"/>
      <c r="E40" s="247" t="n"/>
      <c r="F40" s="247" t="n"/>
      <c r="G40" s="247" t="n"/>
      <c r="H40" s="247" t="n"/>
      <c r="I40" s="247" t="n"/>
      <c r="J40" s="247" t="n"/>
      <c r="K40" s="247" t="n"/>
      <c r="L40" s="247" t="n"/>
      <c r="M40" s="247" t="n"/>
      <c r="N40" s="247" t="n"/>
      <c r="O40" s="147">
        <f>IFERROR(AVERAGE(Documentation_South[[#This Row],[Jan]:[Dec]]),"")</f>
        <v/>
      </c>
      <c r="P40" s="220" t="n"/>
      <c r="Q40" s="11" t="n">
        <v>5</v>
      </c>
      <c r="R40" s="12" t="n"/>
      <c r="S40" s="181" t="inlineStr">
        <is>
          <t>Excellent</t>
        </is>
      </c>
      <c r="T40" s="236" t="n"/>
      <c r="U40" s="236" t="n"/>
      <c r="V40" s="29" t="inlineStr">
        <is>
          <t xml:space="preserve">Responsive to admin. Appointments scheduled, confirmed &amp; services in Zanda accurate/timely. Efficient travel. </t>
        </is>
      </c>
      <c r="W40" s="30" t="n"/>
      <c r="X40" s="31" t="n"/>
      <c r="Y40" s="31" t="n"/>
      <c r="Z40" s="30" t="n"/>
      <c r="AA40" s="30" t="n"/>
      <c r="AB40" s="31" t="n"/>
      <c r="AC40" s="31" t="n"/>
      <c r="AD40" s="31" t="n"/>
      <c r="AE40" s="31" t="n"/>
      <c r="AF40" s="31" t="n"/>
      <c r="AG40" s="31" t="n"/>
      <c r="AH40" s="32" t="n"/>
    </row>
    <row r="41">
      <c r="B41" s="252" t="inlineStr">
        <is>
          <t>Maddie</t>
        </is>
      </c>
      <c r="C41" s="254" t="n"/>
      <c r="D41" s="254" t="n"/>
      <c r="E41" s="254" t="n"/>
      <c r="F41" s="254" t="n"/>
      <c r="G41" s="247" t="n"/>
      <c r="H41" s="247" t="n"/>
      <c r="I41" s="247" t="n"/>
      <c r="J41" s="247" t="n"/>
      <c r="K41" s="247" t="n"/>
      <c r="L41" s="247" t="n"/>
      <c r="M41" s="247" t="n"/>
      <c r="N41" s="247" t="n"/>
      <c r="O41" s="147">
        <f>IFERROR(AVERAGE(Documentation_South[[#This Row],[Jan]:[Dec]]),"")</f>
        <v/>
      </c>
      <c r="P41" s="220" t="n"/>
      <c r="Q41" s="13" t="n">
        <v>4</v>
      </c>
      <c r="R41" s="14" t="n"/>
      <c r="S41" s="192" t="inlineStr">
        <is>
          <t>Very Good</t>
        </is>
      </c>
      <c r="V41" s="33" t="inlineStr">
        <is>
          <t>Generally responsive to admin. Most appointments scheduled and confirmed in a timely manner. Services entered in Zanda with occasional delays/minor errors. Travel mostly efficient.</t>
        </is>
      </c>
      <c r="W41" s="91" t="n"/>
      <c r="X41" s="220" t="n"/>
      <c r="Y41" s="220" t="n"/>
      <c r="Z41" s="91" t="n"/>
      <c r="AA41" s="91" t="n"/>
      <c r="AB41" s="220" t="n"/>
      <c r="AC41" s="220" t="n"/>
      <c r="AD41" s="220" t="n"/>
      <c r="AE41" s="220" t="n"/>
      <c r="AF41" s="220" t="n"/>
      <c r="AG41" s="220" t="n"/>
      <c r="AH41" s="34" t="n"/>
    </row>
    <row r="42">
      <c r="B42" s="250" t="inlineStr">
        <is>
          <t>Andy</t>
        </is>
      </c>
      <c r="C42" s="254" t="n"/>
      <c r="D42" s="254" t="n"/>
      <c r="E42" s="254" t="n"/>
      <c r="F42" s="254" t="n"/>
      <c r="G42" s="247" t="n"/>
      <c r="H42" s="247" t="n"/>
      <c r="I42" s="247" t="n"/>
      <c r="J42" s="247" t="n"/>
      <c r="K42" s="247" t="n"/>
      <c r="L42" s="247" t="n"/>
      <c r="M42" s="247" t="n"/>
      <c r="N42" s="247" t="n"/>
      <c r="O42" s="149">
        <f>IFERROR(AVERAGE(Documentation_South[[#This Row],[Jan]:[Dec]]),"")</f>
        <v/>
      </c>
      <c r="P42" s="220" t="n"/>
      <c r="Q42" s="13" t="n">
        <v>3</v>
      </c>
      <c r="R42" s="14" t="n"/>
      <c r="S42" s="185" t="inlineStr">
        <is>
          <t>In Progress</t>
        </is>
      </c>
      <c r="V42" s="33" t="inlineStr">
        <is>
          <t>Moderately responsive to admin. Some delays/inconsistencies in appointment scheduling or confirmation. Zanda services entry late or incomplete. Travel planning can be improved.</t>
        </is>
      </c>
      <c r="W42" s="91" t="n"/>
      <c r="X42" s="220" t="n"/>
      <c r="Y42" s="220" t="n"/>
      <c r="Z42" s="91" t="n"/>
      <c r="AA42" s="91" t="n"/>
      <c r="AB42" s="220" t="n"/>
      <c r="AC42" s="220" t="n"/>
      <c r="AD42" s="220" t="n"/>
      <c r="AE42" s="220" t="n"/>
      <c r="AF42" s="220" t="n"/>
      <c r="AG42" s="220" t="n"/>
      <c r="AH42" s="34" t="n"/>
    </row>
    <row r="43">
      <c r="B43" s="250" t="inlineStr">
        <is>
          <t>Beth</t>
        </is>
      </c>
      <c r="C43" s="254" t="n"/>
      <c r="D43" s="254" t="n"/>
      <c r="E43" s="254" t="n"/>
      <c r="F43" s="254" t="n"/>
      <c r="G43" s="247" t="n"/>
      <c r="H43" s="247" t="n"/>
      <c r="I43" s="247" t="n"/>
      <c r="J43" s="247" t="n"/>
      <c r="K43" s="247" t="n"/>
      <c r="L43" s="247" t="n"/>
      <c r="M43" s="247" t="n"/>
      <c r="N43" s="247" t="n"/>
      <c r="O43" s="149">
        <f>IFERROR(AVERAGE(Documentation_South[[#This Row],[Jan]:[Dec]]),"")</f>
        <v/>
      </c>
      <c r="P43" s="220" t="n"/>
      <c r="Q43" s="13" t="n">
        <v>2</v>
      </c>
      <c r="R43" s="14" t="n"/>
      <c r="S43" s="182" t="inlineStr">
        <is>
          <t>Needs Improvement</t>
        </is>
      </c>
      <c r="V43" s="33" t="inlineStr">
        <is>
          <t>Slow response to admin. Appointments are frequently unconfirmed or poorly scheduled. Zanda service entry is inconsistent or late. Travel mostly inefficient.</t>
        </is>
      </c>
      <c r="W43" s="91" t="n"/>
      <c r="X43" s="220" t="n"/>
      <c r="Y43" s="220" t="n"/>
      <c r="Z43" s="91" t="n"/>
      <c r="AA43" s="91" t="n"/>
      <c r="AB43" s="220" t="n"/>
      <c r="AC43" s="220" t="n"/>
      <c r="AD43" s="220" t="n"/>
      <c r="AE43" s="220" t="n"/>
      <c r="AF43" s="220" t="n"/>
      <c r="AG43" s="220" t="n"/>
      <c r="AH43" s="34" t="n"/>
    </row>
    <row r="44">
      <c r="B44" s="250" t="inlineStr">
        <is>
          <t>Felina</t>
        </is>
      </c>
      <c r="C44" s="254" t="n"/>
      <c r="D44" s="254" t="n"/>
      <c r="E44" s="254" t="n"/>
      <c r="F44" s="254" t="n"/>
      <c r="G44" s="247" t="n"/>
      <c r="H44" s="247" t="n"/>
      <c r="I44" s="247" t="n"/>
      <c r="J44" s="247" t="n"/>
      <c r="K44" s="247" t="n"/>
      <c r="L44" s="247" t="n"/>
      <c r="M44" s="247" t="n"/>
      <c r="N44" s="247" t="n"/>
      <c r="O44" s="149">
        <f>IFERROR(AVERAGE(Documentation_South[[#This Row],[Jan]:[Dec]]),"")</f>
        <v/>
      </c>
      <c r="P44" s="220" t="n"/>
      <c r="Q44" s="15" t="n">
        <v>1</v>
      </c>
      <c r="R44" s="16" t="n"/>
      <c r="S44" s="184" t="inlineStr">
        <is>
          <t>Unsatisfactory</t>
        </is>
      </c>
      <c r="T44" s="240" t="n"/>
      <c r="U44" s="240" t="n"/>
      <c r="V44" s="35" t="inlineStr">
        <is>
          <t>Rarely responds to admin. Appointments often missed, unconfirmed, or disorganised. Services not entered in Zanda. Travel inefficient.</t>
        </is>
      </c>
      <c r="W44" s="36" t="n"/>
      <c r="X44" s="36" t="n"/>
      <c r="Y44" s="36" t="n"/>
      <c r="Z44" s="36" t="n"/>
      <c r="AA44" s="36" t="n"/>
      <c r="AB44" s="37" t="n"/>
      <c r="AC44" s="37" t="n"/>
      <c r="AD44" s="37" t="n"/>
      <c r="AE44" s="37" t="n"/>
      <c r="AF44" s="37" t="n"/>
      <c r="AG44" s="37" t="n"/>
      <c r="AH44" s="38" t="n"/>
    </row>
    <row r="45">
      <c r="B45" s="250" t="inlineStr">
        <is>
          <t>Janice</t>
        </is>
      </c>
      <c r="C45" s="254" t="n"/>
      <c r="D45" s="254" t="n"/>
      <c r="E45" s="254" t="n"/>
      <c r="F45" s="254" t="n"/>
      <c r="G45" s="247" t="n"/>
      <c r="H45" s="247" t="n"/>
      <c r="I45" s="247" t="n"/>
      <c r="J45" s="247" t="n"/>
      <c r="K45" s="247" t="n"/>
      <c r="L45" s="247" t="n"/>
      <c r="M45" s="247" t="n"/>
      <c r="N45" s="247" t="n"/>
      <c r="O45" s="149">
        <f>IFERROR(AVERAGE(Documentation_South[[#This Row],[Jan]:[Dec]]),"")</f>
        <v/>
      </c>
      <c r="P45" s="220" t="n"/>
      <c r="Q45" s="220" t="n"/>
      <c r="R45" s="220" t="n"/>
      <c r="S45" s="220" t="n"/>
      <c r="T45" s="220" t="n"/>
      <c r="U45" s="220" t="n"/>
      <c r="V45" s="220" t="n"/>
      <c r="W45" s="220" t="n"/>
      <c r="X45" s="220" t="n"/>
      <c r="Y45" s="220" t="n"/>
      <c r="Z45" s="91" t="n"/>
      <c r="AA45" s="91" t="n"/>
      <c r="AB45" s="220" t="n"/>
      <c r="AC45" s="220" t="n"/>
      <c r="AD45" s="220" t="n"/>
      <c r="AE45" s="220" t="n"/>
      <c r="AF45" s="220" t="n"/>
      <c r="AG45" s="220" t="n"/>
      <c r="AH45" s="220" t="n"/>
    </row>
    <row r="46">
      <c r="B46" s="250" t="inlineStr">
        <is>
          <t>Raj</t>
        </is>
      </c>
      <c r="C46" s="254" t="n"/>
      <c r="D46" s="254" t="n"/>
      <c r="E46" s="254" t="n"/>
      <c r="F46" s="254" t="n"/>
      <c r="G46" s="247" t="n"/>
      <c r="H46" s="247" t="n"/>
      <c r="I46" s="247" t="n"/>
      <c r="J46" s="247" t="n"/>
      <c r="K46" s="247" t="n"/>
      <c r="L46" s="247" t="n"/>
      <c r="M46" s="247" t="n"/>
      <c r="N46" s="247" t="n"/>
      <c r="O46" s="149">
        <f>IFERROR(AVERAGE(Documentation_South[[#This Row],[Jan]:[Dec]]),"")</f>
        <v/>
      </c>
      <c r="P46" s="220" t="n"/>
      <c r="Q46" s="220" t="n"/>
      <c r="R46" s="220" t="n"/>
      <c r="S46" s="220" t="n"/>
      <c r="T46" s="220" t="n"/>
      <c r="U46" s="220" t="n"/>
      <c r="V46" s="91" t="n"/>
      <c r="W46" s="91" t="n"/>
      <c r="X46" s="220" t="n"/>
      <c r="Y46" s="220" t="n"/>
      <c r="Z46" s="220" t="n"/>
      <c r="AA46" s="220" t="n"/>
      <c r="AB46" s="220" t="n"/>
      <c r="AC46" s="220" t="n"/>
      <c r="AD46" s="220" t="n"/>
      <c r="AE46" s="220" t="n"/>
      <c r="AF46" s="220" t="n"/>
      <c r="AG46" s="220" t="n"/>
      <c r="AH46" s="220" t="n"/>
    </row>
    <row r="47">
      <c r="B47" s="252" t="inlineStr">
        <is>
          <t>Steph</t>
        </is>
      </c>
      <c r="C47" s="254" t="n"/>
      <c r="D47" s="254" t="n"/>
      <c r="E47" s="254" t="n"/>
      <c r="F47" s="254" t="n"/>
      <c r="G47" s="247" t="n"/>
      <c r="H47" s="247" t="n"/>
      <c r="I47" s="247" t="n"/>
      <c r="J47" s="247" t="n"/>
      <c r="K47" s="247" t="n"/>
      <c r="L47" s="247" t="n"/>
      <c r="M47" s="247" t="n"/>
      <c r="N47" s="247" t="n"/>
      <c r="O47" s="147">
        <f>IFERROR(AVERAGE(Documentation_South[[#This Row],[Jan]:[Dec]]),"")</f>
        <v/>
      </c>
      <c r="P47" s="220" t="n"/>
      <c r="Q47" s="177" t="inlineStr">
        <is>
          <t>Attitude, Learning, Collaboration &amp; Client Impact</t>
        </is>
      </c>
      <c r="R47" s="221" t="n"/>
      <c r="S47" s="221" t="n"/>
      <c r="T47" s="221" t="n"/>
      <c r="U47" s="222" t="n"/>
      <c r="V47" s="91" t="n"/>
      <c r="W47" s="91" t="n"/>
      <c r="X47" s="91" t="n"/>
      <c r="Y47" s="91" t="n"/>
      <c r="Z47" s="91" t="n"/>
      <c r="AA47" s="91" t="n"/>
      <c r="AB47" s="220" t="n"/>
      <c r="AC47" s="220" t="n"/>
      <c r="AD47" s="220" t="n"/>
      <c r="AE47" s="220" t="n"/>
      <c r="AF47" s="220" t="n"/>
      <c r="AG47" s="220" t="n"/>
      <c r="AH47" s="220" t="n"/>
    </row>
    <row r="48">
      <c r="B48" s="252" t="inlineStr">
        <is>
          <t>Vincent</t>
        </is>
      </c>
      <c r="C48" s="254" t="n"/>
      <c r="D48" s="254" t="n"/>
      <c r="E48" s="254" t="n"/>
      <c r="F48" s="254" t="n"/>
      <c r="G48" s="247" t="n"/>
      <c r="H48" s="247" t="n"/>
      <c r="I48" s="247" t="n"/>
      <c r="J48" s="247" t="n"/>
      <c r="K48" s="247" t="n"/>
      <c r="L48" s="247" t="n"/>
      <c r="M48" s="247" t="n"/>
      <c r="N48" s="247" t="n"/>
      <c r="O48" s="147">
        <f>IFERROR(AVERAGE(Documentation_South[[#This Row],[Jan]:[Dec]]),"")</f>
        <v/>
      </c>
      <c r="P48" s="220" t="n"/>
      <c r="Q48" s="198" t="inlineStr">
        <is>
          <t>Focuses on attitude, growth, team-first mindset, idea-sharing, and collaboration with OTs.</t>
        </is>
      </c>
      <c r="R48" s="236" t="n"/>
      <c r="S48" s="236" t="n"/>
      <c r="T48" s="236" t="n"/>
      <c r="U48" s="231" t="n"/>
      <c r="V48" s="91" t="n"/>
      <c r="W48" s="91" t="n"/>
      <c r="X48" s="91" t="n"/>
      <c r="Y48" s="91" t="n"/>
      <c r="Z48" s="91" t="n"/>
      <c r="AA48" s="91" t="n"/>
      <c r="AB48" s="220" t="n"/>
      <c r="AC48" s="220" t="n"/>
      <c r="AD48" s="220" t="n"/>
      <c r="AE48" s="220" t="n"/>
      <c r="AF48" s="220" t="n"/>
      <c r="AG48" s="220" t="n"/>
      <c r="AH48" s="220" t="n"/>
    </row>
    <row r="49" ht="14.45" customHeight="1">
      <c r="B49" s="252" t="inlineStr">
        <is>
          <t>Kate</t>
        </is>
      </c>
      <c r="C49" s="254" t="n"/>
      <c r="D49" s="254" t="n"/>
      <c r="E49" s="254" t="n"/>
      <c r="F49" s="254" t="n"/>
      <c r="G49" s="247" t="n"/>
      <c r="H49" s="247" t="n"/>
      <c r="I49" s="247" t="n"/>
      <c r="J49" s="247" t="n"/>
      <c r="K49" s="247" t="n"/>
      <c r="L49" s="247" t="n"/>
      <c r="M49" s="247" t="n"/>
      <c r="N49" s="247" t="n"/>
      <c r="O49" s="147">
        <f>IFERROR(AVERAGE(Documentation_South[[#This Row],[Jan]:[Dec]]),"")</f>
        <v/>
      </c>
      <c r="P49" s="220" t="n"/>
      <c r="Q49" s="11" t="n">
        <v>5</v>
      </c>
      <c r="R49" s="12" t="n"/>
      <c r="S49" s="181" t="inlineStr">
        <is>
          <t>Excellent</t>
        </is>
      </c>
      <c r="T49" s="236" t="n"/>
      <c r="U49" s="236" t="n"/>
      <c r="V49" s="29" t="inlineStr">
        <is>
          <t>Positive, engaged, always learning. Consistently team-first, contributes ideas, and collaborates proactively with OTs (e.g. internal referrals, joint planning), raving fans</t>
        </is>
      </c>
      <c r="W49" s="30" t="n"/>
      <c r="X49" s="30" t="n"/>
      <c r="Y49" s="30" t="n"/>
      <c r="Z49" s="30" t="n"/>
      <c r="AA49" s="30" t="n"/>
      <c r="AB49" s="31" t="n"/>
      <c r="AC49" s="31" t="n"/>
      <c r="AD49" s="31" t="n"/>
      <c r="AE49" s="31" t="n"/>
      <c r="AF49" s="31" t="n"/>
      <c r="AG49" s="31" t="n"/>
      <c r="AH49" s="32" t="n"/>
    </row>
    <row r="50" ht="15" customHeight="1">
      <c r="B50" s="250" t="inlineStr">
        <is>
          <t>Shirley</t>
        </is>
      </c>
      <c r="C50" s="247" t="n"/>
      <c r="D50" s="247" t="n"/>
      <c r="E50" s="247" t="n"/>
      <c r="F50" s="247" t="n"/>
      <c r="G50" s="247" t="n"/>
      <c r="H50" s="247" t="n"/>
      <c r="I50" s="247" t="n"/>
      <c r="J50" s="247" t="n"/>
      <c r="K50" s="247" t="n"/>
      <c r="L50" s="247" t="n"/>
      <c r="M50" s="247" t="n"/>
      <c r="N50" s="247" t="n"/>
      <c r="O50" s="147">
        <f>IFERROR(AVERAGE(Documentation_South[[#This Row],[Jan]:[Dec]]),"")</f>
        <v/>
      </c>
      <c r="P50" s="220" t="n"/>
      <c r="Q50" s="13" t="n">
        <v>4</v>
      </c>
      <c r="R50" s="14" t="n"/>
      <c r="S50" s="192" t="inlineStr">
        <is>
          <t>Very Good</t>
        </is>
      </c>
      <c r="V50" s="33" t="inlineStr">
        <is>
          <t>Reliable, team-focused, open to learning, shares ideas occasionally, collaborates with OTs when asked, positive feedback clients</t>
        </is>
      </c>
      <c r="W50" s="91" t="n"/>
      <c r="X50" s="91" t="n"/>
      <c r="Y50" s="91" t="n"/>
      <c r="Z50" s="91" t="n"/>
      <c r="AA50" s="91" t="n"/>
      <c r="AB50" s="220" t="n"/>
      <c r="AC50" s="220" t="n"/>
      <c r="AD50" s="220" t="n"/>
      <c r="AE50" s="220" t="n"/>
      <c r="AF50" s="220" t="n"/>
      <c r="AG50" s="220" t="n"/>
      <c r="AH50" s="34" t="n"/>
    </row>
    <row r="51">
      <c r="B51" s="220" t="n"/>
      <c r="C51" s="94" t="n"/>
      <c r="D51" s="94" t="n"/>
      <c r="E51" s="94" t="n"/>
      <c r="F51" s="94" t="n"/>
      <c r="G51" s="94" t="n"/>
      <c r="H51" s="94" t="n"/>
      <c r="I51" s="94" t="n"/>
      <c r="J51" s="94" t="n"/>
      <c r="K51" s="94" t="n"/>
      <c r="L51" s="94" t="n"/>
      <c r="M51" s="94" t="n"/>
      <c r="N51" s="94" t="n"/>
      <c r="O51" s="94" t="n"/>
      <c r="P51" s="220" t="n"/>
      <c r="Q51" s="13" t="n">
        <v>3</v>
      </c>
      <c r="R51" s="14" t="n"/>
      <c r="S51" s="185" t="inlineStr">
        <is>
          <t>In Progress</t>
        </is>
      </c>
      <c r="V51" s="33" t="inlineStr">
        <is>
          <t>Generally positive with a team mindset. Contributes but may need prompting to share ideas or engage with OTs. Neutral feedback.</t>
        </is>
      </c>
      <c r="W51" s="91" t="n"/>
      <c r="X51" s="91" t="n"/>
      <c r="Y51" s="91" t="n"/>
      <c r="Z51" s="91" t="n"/>
      <c r="AA51" s="91" t="n"/>
      <c r="AB51" s="220" t="n"/>
      <c r="AC51" s="220" t="n"/>
      <c r="AD51" s="220" t="n"/>
      <c r="AE51" s="220" t="n"/>
      <c r="AF51" s="220" t="n"/>
      <c r="AG51" s="220" t="n"/>
      <c r="AH51" s="34" t="n"/>
    </row>
    <row r="52">
      <c r="B52" s="88" t="inlineStr">
        <is>
          <t>Admin &amp; Operational Efficiency</t>
        </is>
      </c>
      <c r="C52" s="133" t="inlineStr">
        <is>
          <t>Jan</t>
        </is>
      </c>
      <c r="D52" s="133" t="inlineStr">
        <is>
          <t>Feb</t>
        </is>
      </c>
      <c r="E52" s="133" t="inlineStr">
        <is>
          <t>Mar</t>
        </is>
      </c>
      <c r="F52" s="133" t="inlineStr">
        <is>
          <t>Apr</t>
        </is>
      </c>
      <c r="G52" s="133" t="inlineStr">
        <is>
          <t>May</t>
        </is>
      </c>
      <c r="H52" s="133" t="inlineStr">
        <is>
          <t>June</t>
        </is>
      </c>
      <c r="I52" s="133" t="inlineStr">
        <is>
          <t>July</t>
        </is>
      </c>
      <c r="J52" s="133" t="inlineStr">
        <is>
          <t>Aug</t>
        </is>
      </c>
      <c r="K52" s="133" t="inlineStr">
        <is>
          <t>Sept</t>
        </is>
      </c>
      <c r="L52" s="133" t="inlineStr">
        <is>
          <t>Oct</t>
        </is>
      </c>
      <c r="M52" s="133" t="inlineStr">
        <is>
          <t>Nov</t>
        </is>
      </c>
      <c r="N52" s="133" t="inlineStr">
        <is>
          <t>Dec</t>
        </is>
      </c>
      <c r="O52" s="133" t="inlineStr">
        <is>
          <t>Average</t>
        </is>
      </c>
      <c r="P52" s="220" t="n"/>
      <c r="Q52" s="13" t="n">
        <v>2</v>
      </c>
      <c r="R52" s="14" t="n"/>
      <c r="S52" s="182" t="inlineStr">
        <is>
          <t>Needs Improvement</t>
        </is>
      </c>
      <c r="V52" s="33" t="inlineStr">
        <is>
          <t>Inconsistent engagement. Limited learning, team contribution, idea-sharing, or collaboration. Some constructive feedback clients.</t>
        </is>
      </c>
      <c r="W52" s="91" t="n"/>
      <c r="X52" s="91" t="n"/>
      <c r="Y52" s="91" t="n"/>
      <c r="Z52" s="91" t="n"/>
      <c r="AA52" s="91" t="n"/>
      <c r="AB52" s="220" t="n"/>
      <c r="AC52" s="220" t="n"/>
      <c r="AD52" s="220" t="n"/>
      <c r="AE52" s="220" t="n"/>
      <c r="AF52" s="220" t="n"/>
      <c r="AG52" s="220" t="n"/>
      <c r="AH52" s="34" t="n"/>
    </row>
    <row r="53">
      <c r="B53" s="250" t="inlineStr">
        <is>
          <t>Tom</t>
        </is>
      </c>
      <c r="C53" s="247" t="n"/>
      <c r="D53" s="247" t="n"/>
      <c r="E53" s="247" t="n"/>
      <c r="F53" s="247" t="n"/>
      <c r="G53" s="247" t="n"/>
      <c r="H53" s="247" t="n"/>
      <c r="I53" s="247" t="n"/>
      <c r="J53" s="247" t="n"/>
      <c r="K53" s="247" t="n"/>
      <c r="L53" s="247" t="n"/>
      <c r="M53" s="247" t="n"/>
      <c r="N53" s="247" t="n"/>
      <c r="O53" s="147">
        <f>IFERROR(AVERAGE(Admin_South[[#This Row],[Jan]:[Dec]]),"")</f>
        <v/>
      </c>
      <c r="P53" s="220" t="n"/>
      <c r="Q53" s="15" t="n">
        <v>1</v>
      </c>
      <c r="R53" s="16" t="n"/>
      <c r="S53" s="184" t="inlineStr">
        <is>
          <t>Unsatisfactory</t>
        </is>
      </c>
      <c r="T53" s="240" t="n"/>
      <c r="U53" s="240" t="n"/>
      <c r="V53" s="35" t="inlineStr">
        <is>
          <t xml:space="preserve">Rarely team-focused. Minimal growth, idea-sharing, or collaboration with others. Consistent constructive feedback clients/referrers. </t>
        </is>
      </c>
      <c r="W53" s="36" t="n"/>
      <c r="X53" s="36" t="n"/>
      <c r="Y53" s="36" t="n"/>
      <c r="Z53" s="36" t="n"/>
      <c r="AA53" s="36" t="n"/>
      <c r="AB53" s="37" t="n"/>
      <c r="AC53" s="37" t="n"/>
      <c r="AD53" s="37" t="n"/>
      <c r="AE53" s="37" t="n"/>
      <c r="AF53" s="37" t="n"/>
      <c r="AG53" s="37" t="n"/>
      <c r="AH53" s="38" t="n"/>
    </row>
    <row r="54">
      <c r="B54" s="252" t="inlineStr">
        <is>
          <t>Maddie</t>
        </is>
      </c>
      <c r="C54" s="254" t="n"/>
      <c r="D54" s="254" t="n"/>
      <c r="E54" s="254" t="n"/>
      <c r="F54" s="254" t="n"/>
      <c r="G54" s="247" t="n"/>
      <c r="H54" s="247" t="n"/>
      <c r="I54" s="247" t="n"/>
      <c r="J54" s="247" t="n"/>
      <c r="K54" s="247" t="n"/>
      <c r="L54" s="247" t="n"/>
      <c r="M54" s="247" t="n"/>
      <c r="N54" s="247" t="n"/>
      <c r="O54" s="147">
        <f>IFERROR(AVERAGE(Admin_South[[#This Row],[Jan]:[Dec]]),"")</f>
        <v/>
      </c>
      <c r="P54" s="220" t="n"/>
      <c r="Q54" s="220" t="n"/>
      <c r="R54" s="220" t="n"/>
      <c r="S54" s="220" t="n"/>
      <c r="T54" s="220" t="n"/>
      <c r="U54" s="220" t="n"/>
      <c r="V54" s="220" t="n"/>
      <c r="W54" s="220" t="n"/>
      <c r="X54" s="220" t="n"/>
      <c r="Y54" s="91" t="n"/>
      <c r="Z54" s="91" t="n"/>
      <c r="AA54" s="91" t="n"/>
      <c r="AB54" s="220" t="n"/>
      <c r="AC54" s="220" t="n"/>
      <c r="AD54" s="220" t="n"/>
      <c r="AE54" s="220" t="n"/>
      <c r="AF54" s="220" t="n"/>
      <c r="AG54" s="220" t="n"/>
      <c r="AH54" s="220" t="n"/>
    </row>
    <row r="55">
      <c r="B55" s="250" t="inlineStr">
        <is>
          <t>Andy</t>
        </is>
      </c>
      <c r="C55" s="254" t="n"/>
      <c r="D55" s="254" t="n"/>
      <c r="E55" s="254" t="n"/>
      <c r="F55" s="254" t="n"/>
      <c r="G55" s="247" t="n"/>
      <c r="H55" s="247" t="n"/>
      <c r="I55" s="247" t="n"/>
      <c r="J55" s="247" t="n"/>
      <c r="K55" s="247" t="n"/>
      <c r="L55" s="247" t="n"/>
      <c r="M55" s="247" t="n"/>
      <c r="N55" s="247" t="n"/>
      <c r="O55" s="149">
        <f>IFERROR(AVERAGE(Admin_South[[#This Row],[Jan]:[Dec]]),"")</f>
        <v/>
      </c>
      <c r="P55" s="220" t="n"/>
      <c r="Q55" s="220" t="n"/>
      <c r="R55" s="220" t="n"/>
      <c r="S55" s="220" t="n"/>
      <c r="T55" s="220" t="n"/>
      <c r="U55" s="220" t="n"/>
      <c r="V55" s="220" t="n"/>
      <c r="W55" s="220" t="n"/>
      <c r="X55" s="220" t="n"/>
      <c r="Y55" s="91" t="n"/>
      <c r="Z55" s="91" t="n"/>
      <c r="AA55" s="91" t="n"/>
      <c r="AB55" s="220" t="n"/>
      <c r="AC55" s="220" t="n"/>
      <c r="AD55" s="220" t="n"/>
      <c r="AE55" s="220" t="n"/>
      <c r="AF55" s="220" t="n"/>
      <c r="AG55" s="220" t="n"/>
      <c r="AH55" s="220" t="n"/>
    </row>
    <row r="56">
      <c r="B56" s="250" t="inlineStr">
        <is>
          <t>Beth</t>
        </is>
      </c>
      <c r="C56" s="254" t="n"/>
      <c r="D56" s="254" t="n"/>
      <c r="E56" s="254" t="n"/>
      <c r="F56" s="254" t="n"/>
      <c r="G56" s="247" t="n"/>
      <c r="H56" s="247" t="n"/>
      <c r="I56" s="247" t="n"/>
      <c r="J56" s="247" t="n"/>
      <c r="K56" s="247" t="n"/>
      <c r="L56" s="247" t="n"/>
      <c r="M56" s="247" t="n"/>
      <c r="N56" s="247" t="n"/>
      <c r="O56" s="149">
        <f>IFERROR(AVERAGE(Admin_South[[#This Row],[Jan]:[Dec]]),"")</f>
        <v/>
      </c>
      <c r="P56" s="220" t="n"/>
      <c r="Q56" s="91" t="n"/>
      <c r="R56" s="91" t="n"/>
      <c r="S56" s="91" t="n"/>
      <c r="T56" s="91" t="n"/>
      <c r="U56" s="91" t="n"/>
      <c r="V56" s="91" t="n"/>
      <c r="W56" s="91" t="n"/>
      <c r="X56" s="91" t="n"/>
      <c r="Y56" s="91" t="n"/>
      <c r="Z56" s="91" t="n"/>
      <c r="AA56" s="91" t="n"/>
      <c r="AB56" s="220" t="n"/>
      <c r="AC56" s="220" t="n"/>
      <c r="AD56" s="220" t="n"/>
      <c r="AE56" s="220" t="n"/>
      <c r="AF56" s="220" t="n"/>
      <c r="AG56" s="220" t="n"/>
      <c r="AH56" s="220" t="n"/>
    </row>
    <row r="57">
      <c r="B57" s="250" t="inlineStr">
        <is>
          <t>Felina</t>
        </is>
      </c>
      <c r="C57" s="254" t="n"/>
      <c r="D57" s="254" t="n"/>
      <c r="E57" s="254" t="n"/>
      <c r="F57" s="254" t="n"/>
      <c r="G57" s="247" t="n"/>
      <c r="H57" s="247" t="n"/>
      <c r="I57" s="247" t="n"/>
      <c r="J57" s="247" t="n"/>
      <c r="K57" s="247" t="n"/>
      <c r="L57" s="247" t="n"/>
      <c r="M57" s="247" t="n"/>
      <c r="N57" s="247" t="n"/>
      <c r="O57" s="149">
        <f>IFERROR(AVERAGE(Admin_South[[#This Row],[Jan]:[Dec]]),"")</f>
        <v/>
      </c>
      <c r="P57" s="220" t="n"/>
      <c r="Q57" s="220" t="n"/>
      <c r="R57" s="220" t="n"/>
      <c r="S57" s="220" t="n"/>
      <c r="T57" s="220" t="n"/>
      <c r="U57" s="220" t="n"/>
      <c r="V57" s="220" t="n"/>
      <c r="W57" s="220" t="n"/>
      <c r="X57" s="220" t="n"/>
      <c r="Y57" s="220" t="n"/>
      <c r="Z57" s="220" t="n"/>
      <c r="AA57" s="220" t="n"/>
      <c r="AB57" s="220" t="n"/>
      <c r="AC57" s="220" t="n"/>
      <c r="AD57" s="220" t="n"/>
      <c r="AE57" s="220" t="n"/>
      <c r="AF57" s="220" t="n"/>
      <c r="AG57" s="220" t="n"/>
      <c r="AH57" s="220" t="n"/>
    </row>
    <row r="58">
      <c r="B58" s="250" t="inlineStr">
        <is>
          <t>Janice</t>
        </is>
      </c>
      <c r="C58" s="254" t="n"/>
      <c r="D58" s="254" t="n"/>
      <c r="E58" s="254" t="n"/>
      <c r="F58" s="254" t="n"/>
      <c r="G58" s="247" t="n"/>
      <c r="H58" s="247" t="n"/>
      <c r="I58" s="247" t="n"/>
      <c r="J58" s="247" t="n"/>
      <c r="K58" s="247" t="n"/>
      <c r="L58" s="247" t="n"/>
      <c r="M58" s="247" t="n"/>
      <c r="N58" s="247" t="n"/>
      <c r="O58" s="149">
        <f>IFERROR(AVERAGE(Admin_South[[#This Row],[Jan]:[Dec]]),"")</f>
        <v/>
      </c>
      <c r="P58" s="220" t="n"/>
      <c r="Q58" s="220" t="n"/>
      <c r="R58" s="220" t="n"/>
      <c r="S58" s="220" t="n"/>
      <c r="T58" s="220" t="n"/>
      <c r="U58" s="220" t="n"/>
      <c r="V58" s="220" t="n"/>
      <c r="W58" s="220" t="n"/>
      <c r="X58" s="220" t="n"/>
      <c r="Y58" s="220" t="n"/>
      <c r="Z58" s="220" t="n"/>
      <c r="AA58" s="220" t="n"/>
      <c r="AB58" s="220" t="n"/>
      <c r="AC58" s="220" t="n"/>
      <c r="AD58" s="220" t="n"/>
      <c r="AE58" s="220" t="n"/>
      <c r="AF58" s="220" t="n"/>
      <c r="AG58" s="220" t="n"/>
      <c r="AH58" s="220" t="n"/>
    </row>
    <row r="59">
      <c r="B59" s="252" t="inlineStr">
        <is>
          <t>Raj</t>
        </is>
      </c>
      <c r="C59" s="254" t="n"/>
      <c r="D59" s="254" t="n"/>
      <c r="E59" s="254" t="n"/>
      <c r="F59" s="254" t="n"/>
      <c r="G59" s="247" t="n"/>
      <c r="H59" s="247" t="n"/>
      <c r="I59" s="247" t="n"/>
      <c r="J59" s="247" t="n"/>
      <c r="K59" s="247" t="n"/>
      <c r="L59" s="247" t="n"/>
      <c r="M59" s="247" t="n"/>
      <c r="N59" s="247" t="n"/>
      <c r="O59" s="147">
        <f>IFERROR(AVERAGE(Admin_South[[#This Row],[Jan]:[Dec]]),"")</f>
        <v/>
      </c>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row>
    <row r="60">
      <c r="B60" s="252" t="inlineStr">
        <is>
          <t>Steph</t>
        </is>
      </c>
      <c r="C60" s="254" t="n"/>
      <c r="D60" s="254" t="n"/>
      <c r="E60" s="254" t="n"/>
      <c r="F60" s="254" t="n"/>
      <c r="G60" s="247" t="n"/>
      <c r="H60" s="247" t="n"/>
      <c r="I60" s="247" t="n"/>
      <c r="J60" s="247" t="n"/>
      <c r="K60" s="247" t="n"/>
      <c r="L60" s="247" t="n"/>
      <c r="M60" s="247" t="n"/>
      <c r="N60" s="247" t="n"/>
      <c r="O60" s="147">
        <f>IFERROR(AVERAGE(Admin_South[[#This Row],[Jan]:[Dec]]),"")</f>
        <v/>
      </c>
      <c r="P60" s="220" t="n"/>
      <c r="Q60" s="220" t="n"/>
      <c r="R60" s="220" t="n"/>
      <c r="S60" s="220" t="n"/>
      <c r="T60" s="220" t="n"/>
      <c r="U60" s="220" t="n"/>
      <c r="V60" s="220" t="n"/>
      <c r="W60" s="220" t="n"/>
      <c r="X60" s="220" t="n"/>
      <c r="Y60" s="220" t="n"/>
      <c r="Z60" s="220" t="n"/>
      <c r="AA60" s="220" t="n"/>
      <c r="AB60" s="220" t="n"/>
      <c r="AC60" s="220" t="n"/>
      <c r="AD60" s="220" t="n"/>
      <c r="AE60" s="220" t="n"/>
      <c r="AF60" s="220" t="n"/>
      <c r="AG60" s="220" t="n"/>
      <c r="AH60" s="220" t="n"/>
    </row>
    <row r="61" ht="15" customHeight="1">
      <c r="B61" s="252" t="inlineStr">
        <is>
          <t>Vincent</t>
        </is>
      </c>
      <c r="C61" s="254" t="n"/>
      <c r="D61" s="254" t="n"/>
      <c r="E61" s="254" t="n"/>
      <c r="F61" s="254" t="n"/>
      <c r="G61" s="247" t="n"/>
      <c r="H61" s="247" t="n"/>
      <c r="I61" s="247" t="n"/>
      <c r="J61" s="247" t="n"/>
      <c r="K61" s="247" t="n"/>
      <c r="L61" s="247" t="n"/>
      <c r="M61" s="247" t="n"/>
      <c r="N61" s="247" t="n"/>
      <c r="O61" s="147">
        <f>IFERROR(AVERAGE(Admin_South[[#This Row],[Jan]:[Dec]]),"")</f>
        <v/>
      </c>
      <c r="P61" s="220" t="n"/>
      <c r="Q61" s="220" t="n"/>
      <c r="R61" s="220" t="n"/>
      <c r="S61" s="220" t="n"/>
      <c r="T61" s="220" t="n"/>
      <c r="U61" s="220" t="n"/>
      <c r="V61" s="220" t="n"/>
      <c r="W61" s="220" t="n"/>
      <c r="X61" s="220" t="n"/>
      <c r="Y61" s="220" t="n"/>
      <c r="Z61" s="220" t="n"/>
      <c r="AA61" s="220" t="n"/>
      <c r="AB61" s="220" t="n"/>
      <c r="AC61" s="220" t="n"/>
      <c r="AD61" s="220" t="n"/>
      <c r="AE61" s="220" t="n"/>
      <c r="AF61" s="220" t="n"/>
      <c r="AG61" s="220" t="n"/>
      <c r="AH61" s="220" t="n"/>
    </row>
    <row r="62" ht="15" customHeight="1">
      <c r="B62" s="255" t="inlineStr">
        <is>
          <t>Kate</t>
        </is>
      </c>
      <c r="C62" s="256" t="n"/>
      <c r="D62" s="256" t="n"/>
      <c r="E62" s="256" t="n"/>
      <c r="F62" s="256" t="n"/>
      <c r="G62" s="247" t="n"/>
      <c r="H62" s="247" t="n"/>
      <c r="I62" s="247" t="n"/>
      <c r="J62" s="247" t="n"/>
      <c r="K62" s="247" t="n"/>
      <c r="L62" s="247" t="n"/>
      <c r="M62" s="247" t="n"/>
      <c r="N62" s="247" t="n"/>
      <c r="O62" s="147">
        <f>IFERROR(AVERAGE(Admin_South[[#This Row],[Jan]:[Dec]]),"")</f>
        <v/>
      </c>
      <c r="P62" s="220" t="n"/>
      <c r="Q62" s="220" t="n"/>
      <c r="R62" s="220" t="n"/>
      <c r="S62" s="220" t="n"/>
      <c r="T62" s="220" t="n"/>
      <c r="U62" s="220" t="n"/>
      <c r="V62" s="220" t="n"/>
      <c r="W62" s="220" t="n"/>
      <c r="X62" s="220" t="n"/>
      <c r="Y62" s="220" t="n"/>
      <c r="Z62" s="220" t="n"/>
      <c r="AA62" s="220" t="n"/>
      <c r="AB62" s="220" t="n"/>
      <c r="AC62" s="220" t="n"/>
      <c r="AD62" s="220" t="n"/>
      <c r="AE62" s="220" t="n"/>
      <c r="AF62" s="220" t="n"/>
      <c r="AG62" s="220" t="n"/>
      <c r="AH62" s="220" t="n"/>
    </row>
    <row r="63" ht="15" customHeight="1">
      <c r="B63" s="250" t="inlineStr">
        <is>
          <t>Shirley</t>
        </is>
      </c>
      <c r="C63" s="247" t="n"/>
      <c r="D63" s="247" t="n"/>
      <c r="E63" s="247" t="n"/>
      <c r="F63" s="247" t="n"/>
      <c r="G63" s="247" t="n"/>
      <c r="H63" s="247" t="n"/>
      <c r="I63" s="247" t="n"/>
      <c r="J63" s="247" t="n"/>
      <c r="K63" s="247" t="n"/>
      <c r="L63" s="247" t="n"/>
      <c r="M63" s="247" t="n"/>
      <c r="N63" s="247" t="n"/>
      <c r="O63" s="147">
        <f>IFERROR(AVERAGE(Admin_South[[#This Row],[Jan]:[Dec]]),"")</f>
        <v/>
      </c>
      <c r="P63" s="220" t="n"/>
      <c r="Q63" s="220" t="n"/>
      <c r="R63" s="220" t="n"/>
      <c r="S63" s="220" t="n"/>
      <c r="T63" s="220" t="n"/>
      <c r="U63" s="220" t="n"/>
      <c r="V63" s="220" t="n"/>
      <c r="W63" s="220" t="n"/>
      <c r="X63" s="220" t="n"/>
      <c r="Y63" s="220" t="n"/>
      <c r="Z63" s="220" t="n"/>
      <c r="AA63" s="220" t="n"/>
      <c r="AB63" s="220" t="n"/>
      <c r="AC63" s="220" t="n"/>
      <c r="AD63" s="220" t="n"/>
      <c r="AE63" s="220" t="n"/>
      <c r="AF63" s="220" t="n"/>
      <c r="AG63" s="220" t="n"/>
      <c r="AH63" s="220" t="n"/>
    </row>
    <row r="64" ht="15" customHeight="1">
      <c r="B64" s="220" t="n"/>
      <c r="C64" s="94" t="n"/>
      <c r="D64" s="94" t="n"/>
      <c r="E64" s="94" t="n"/>
      <c r="F64" s="94" t="n"/>
      <c r="G64" s="94" t="n"/>
      <c r="H64" s="94" t="n"/>
      <c r="I64" s="94" t="n"/>
      <c r="J64" s="94" t="n"/>
      <c r="K64" s="94" t="n"/>
      <c r="L64" s="94" t="n"/>
      <c r="M64" s="94" t="n"/>
      <c r="N64" s="94" t="n"/>
      <c r="O64" s="94" t="n"/>
      <c r="P64" s="220" t="n"/>
      <c r="Q64" s="220" t="n"/>
      <c r="R64" s="220" t="n"/>
      <c r="S64" s="220" t="n"/>
      <c r="T64" s="220" t="n"/>
      <c r="U64" s="220" t="n"/>
      <c r="V64" s="220" t="n"/>
      <c r="W64" s="220" t="n"/>
      <c r="X64" s="220" t="n"/>
      <c r="Y64" s="220" t="n"/>
      <c r="Z64" s="220" t="n"/>
      <c r="AA64" s="220" t="n"/>
      <c r="AB64" s="220" t="n"/>
      <c r="AC64" s="220" t="n"/>
      <c r="AD64" s="220" t="n"/>
      <c r="AE64" s="220" t="n"/>
      <c r="AF64" s="220" t="n"/>
      <c r="AG64" s="220" t="n"/>
      <c r="AH64" s="220" t="n"/>
    </row>
    <row r="65" ht="15" customHeight="1">
      <c r="B65" s="88" t="inlineStr">
        <is>
          <t>Attitude, Learning, Collaboration &amp; Client Impact</t>
        </is>
      </c>
      <c r="C65" s="133" t="inlineStr">
        <is>
          <t>Jan</t>
        </is>
      </c>
      <c r="D65" s="133" t="inlineStr">
        <is>
          <t>Feb</t>
        </is>
      </c>
      <c r="E65" s="133" t="inlineStr">
        <is>
          <t>Mar</t>
        </is>
      </c>
      <c r="F65" s="133" t="inlineStr">
        <is>
          <t>Apr</t>
        </is>
      </c>
      <c r="G65" s="133" t="inlineStr">
        <is>
          <t>May</t>
        </is>
      </c>
      <c r="H65" s="133" t="inlineStr">
        <is>
          <t>June</t>
        </is>
      </c>
      <c r="I65" s="133" t="inlineStr">
        <is>
          <t>July</t>
        </is>
      </c>
      <c r="J65" s="133" t="inlineStr">
        <is>
          <t>Aug</t>
        </is>
      </c>
      <c r="K65" s="133" t="inlineStr">
        <is>
          <t>Sept</t>
        </is>
      </c>
      <c r="L65" s="133" t="inlineStr">
        <is>
          <t>Oct</t>
        </is>
      </c>
      <c r="M65" s="133" t="inlineStr">
        <is>
          <t>Nov</t>
        </is>
      </c>
      <c r="N65" s="133" t="inlineStr">
        <is>
          <t>Dec</t>
        </is>
      </c>
      <c r="O65" s="133" t="inlineStr">
        <is>
          <t>Average</t>
        </is>
      </c>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row>
    <row r="66" ht="15" customHeight="1">
      <c r="B66" s="250" t="inlineStr">
        <is>
          <t>Tom</t>
        </is>
      </c>
      <c r="C66" s="247" t="n"/>
      <c r="D66" s="247" t="n"/>
      <c r="E66" s="247" t="n"/>
      <c r="F66" s="247" t="n"/>
      <c r="G66" s="247" t="n"/>
      <c r="H66" s="247" t="n"/>
      <c r="I66" s="247" t="n"/>
      <c r="J66" s="247" t="n"/>
      <c r="K66" s="247" t="n"/>
      <c r="L66" s="247" t="n"/>
      <c r="M66" s="247" t="n"/>
      <c r="N66" s="247" t="n"/>
      <c r="O66" s="147">
        <f>IFERROR(AVERAGE(Attitude_South[[#This Row],[Jan]:[Dec]]),"")</f>
        <v/>
      </c>
      <c r="P66" s="220" t="n"/>
      <c r="Q66" s="220" t="n"/>
      <c r="R66" s="220" t="n"/>
      <c r="S66" s="220" t="n"/>
      <c r="T66" s="220" t="n"/>
      <c r="U66" s="220" t="n"/>
      <c r="V66" s="220" t="n"/>
      <c r="W66" s="220" t="n"/>
      <c r="X66" s="220" t="n"/>
      <c r="Y66" s="220" t="n"/>
      <c r="Z66" s="220" t="n"/>
      <c r="AA66" s="220" t="n"/>
      <c r="AB66" s="220" t="n"/>
      <c r="AC66" s="220" t="n"/>
      <c r="AD66" s="220" t="n"/>
      <c r="AE66" s="220" t="n"/>
      <c r="AF66" s="220" t="n"/>
      <c r="AG66" s="220" t="n"/>
      <c r="AH66" s="220" t="n"/>
    </row>
    <row r="67" ht="15" customHeight="1">
      <c r="B67" s="252" t="inlineStr">
        <is>
          <t>Maddie</t>
        </is>
      </c>
      <c r="C67" s="254" t="n"/>
      <c r="D67" s="254" t="n"/>
      <c r="E67" s="254" t="n"/>
      <c r="F67" s="254" t="n"/>
      <c r="G67" s="247" t="n"/>
      <c r="H67" s="247" t="n"/>
      <c r="I67" s="247" t="n"/>
      <c r="J67" s="247" t="n"/>
      <c r="K67" s="247" t="n"/>
      <c r="L67" s="247" t="n"/>
      <c r="M67" s="247" t="n"/>
      <c r="N67" s="247" t="n"/>
      <c r="O67" s="147">
        <f>IFERROR(AVERAGE(Attitude_South[[#This Row],[Jan]:[Dec]]),"")</f>
        <v/>
      </c>
      <c r="P67" s="220" t="n"/>
      <c r="Q67" s="220" t="n"/>
      <c r="R67" s="220" t="n"/>
      <c r="S67" s="220" t="n"/>
      <c r="T67" s="220" t="n"/>
      <c r="U67" s="220" t="n"/>
      <c r="V67" s="220" t="n"/>
      <c r="W67" s="220" t="n"/>
      <c r="X67" s="220" t="n"/>
      <c r="Y67" s="220" t="n"/>
      <c r="Z67" s="220" t="n"/>
      <c r="AA67" s="220" t="n"/>
      <c r="AB67" s="220" t="n"/>
      <c r="AC67" s="220" t="n"/>
      <c r="AD67" s="220" t="n"/>
      <c r="AE67" s="220" t="n"/>
      <c r="AF67" s="220" t="n"/>
      <c r="AG67" s="220" t="n"/>
      <c r="AH67" s="220" t="n"/>
    </row>
    <row r="68" ht="15" customHeight="1">
      <c r="B68" s="250" t="inlineStr">
        <is>
          <t>Andy</t>
        </is>
      </c>
      <c r="C68" s="254" t="n"/>
      <c r="D68" s="254" t="n"/>
      <c r="E68" s="254" t="n"/>
      <c r="F68" s="254" t="n"/>
      <c r="G68" s="247" t="n"/>
      <c r="H68" s="247" t="n"/>
      <c r="I68" s="247" t="n"/>
      <c r="J68" s="247" t="n"/>
      <c r="K68" s="247" t="n"/>
      <c r="L68" s="247" t="n"/>
      <c r="M68" s="247" t="n"/>
      <c r="N68" s="247" t="n"/>
      <c r="O68" s="149">
        <f>IFERROR(AVERAGE(Attitude_South[[#This Row],[Jan]:[Dec]]),"")</f>
        <v/>
      </c>
      <c r="P68" s="220" t="n"/>
      <c r="Q68" s="220" t="n"/>
      <c r="R68" s="220" t="n"/>
      <c r="S68" s="220" t="n"/>
      <c r="T68" s="220" t="n"/>
      <c r="U68" s="220" t="n"/>
      <c r="V68" s="220" t="n"/>
      <c r="W68" s="220" t="n"/>
      <c r="X68" s="220" t="n"/>
      <c r="Y68" s="220" t="n"/>
      <c r="Z68" s="220" t="n"/>
      <c r="AA68" s="220" t="n"/>
      <c r="AB68" s="220" t="n"/>
      <c r="AC68" s="220" t="n"/>
      <c r="AD68" s="220" t="n"/>
      <c r="AE68" s="220" t="n"/>
      <c r="AF68" s="220" t="n"/>
      <c r="AG68" s="220" t="n"/>
      <c r="AH68" s="220" t="n"/>
    </row>
    <row r="69" ht="15" customHeight="1">
      <c r="B69" s="250" t="inlineStr">
        <is>
          <t>Beth</t>
        </is>
      </c>
      <c r="C69" s="254" t="n"/>
      <c r="D69" s="254" t="n"/>
      <c r="E69" s="254" t="n"/>
      <c r="F69" s="254" t="n"/>
      <c r="G69" s="247" t="n"/>
      <c r="H69" s="247" t="n"/>
      <c r="I69" s="247" t="n"/>
      <c r="J69" s="247" t="n"/>
      <c r="K69" s="247" t="n"/>
      <c r="L69" s="247" t="n"/>
      <c r="M69" s="247" t="n"/>
      <c r="N69" s="247" t="n"/>
      <c r="O69" s="149">
        <f>IFERROR(AVERAGE(Attitude_South[[#This Row],[Jan]:[Dec]]),"")</f>
        <v/>
      </c>
      <c r="P69" s="220" t="n"/>
      <c r="Q69" s="220" t="n"/>
      <c r="R69" s="220" t="n"/>
      <c r="S69" s="220" t="n"/>
      <c r="T69" s="220" t="n"/>
      <c r="U69" s="220" t="n"/>
      <c r="V69" s="220" t="n"/>
      <c r="W69" s="220" t="n"/>
      <c r="X69" s="220" t="n"/>
      <c r="Y69" s="220" t="n"/>
      <c r="Z69" s="220" t="n"/>
      <c r="AA69" s="220" t="n"/>
      <c r="AB69" s="220" t="n"/>
      <c r="AC69" s="220" t="n"/>
      <c r="AD69" s="220" t="n"/>
      <c r="AE69" s="220" t="n"/>
      <c r="AF69" s="220" t="n"/>
      <c r="AG69" s="220" t="n"/>
      <c r="AH69" s="220" t="n"/>
    </row>
    <row r="70" ht="15" customHeight="1">
      <c r="B70" s="250" t="inlineStr">
        <is>
          <t>Felina</t>
        </is>
      </c>
      <c r="C70" s="254" t="n"/>
      <c r="D70" s="254" t="n"/>
      <c r="E70" s="254" t="n"/>
      <c r="F70" s="254" t="n"/>
      <c r="G70" s="247" t="n"/>
      <c r="H70" s="247" t="n"/>
      <c r="I70" s="247" t="n"/>
      <c r="J70" s="247" t="n"/>
      <c r="K70" s="247" t="n"/>
      <c r="L70" s="247" t="n"/>
      <c r="M70" s="247" t="n"/>
      <c r="N70" s="247" t="n"/>
      <c r="O70" s="149">
        <f>IFERROR(AVERAGE(Attitude_South[[#This Row],[Jan]:[Dec]]),"")</f>
        <v/>
      </c>
      <c r="P70" s="220" t="n"/>
      <c r="Q70" s="220" t="n"/>
      <c r="R70" s="220" t="n"/>
      <c r="S70" s="220" t="n"/>
      <c r="T70" s="220" t="n"/>
      <c r="U70" s="220" t="n"/>
      <c r="V70" s="220" t="n"/>
      <c r="W70" s="220" t="n"/>
      <c r="X70" s="220" t="n"/>
      <c r="Y70" s="220" t="n"/>
      <c r="Z70" s="220" t="n"/>
      <c r="AA70" s="220" t="n"/>
      <c r="AB70" s="220" t="n"/>
      <c r="AC70" s="220" t="n"/>
      <c r="AD70" s="220" t="n"/>
      <c r="AE70" s="220" t="n"/>
      <c r="AF70" s="220" t="n"/>
      <c r="AG70" s="220" t="n"/>
      <c r="AH70" s="220" t="n"/>
    </row>
    <row r="71" ht="15" customHeight="1">
      <c r="B71" s="250" t="inlineStr">
        <is>
          <t>Janice</t>
        </is>
      </c>
      <c r="C71" s="254" t="n"/>
      <c r="D71" s="254" t="n"/>
      <c r="E71" s="254" t="n"/>
      <c r="F71" s="254" t="n"/>
      <c r="G71" s="247" t="n"/>
      <c r="H71" s="247" t="n"/>
      <c r="I71" s="247" t="n"/>
      <c r="J71" s="247" t="n"/>
      <c r="K71" s="247" t="n"/>
      <c r="L71" s="247" t="n"/>
      <c r="M71" s="247" t="n"/>
      <c r="N71" s="247" t="n"/>
      <c r="O71" s="149">
        <f>IFERROR(AVERAGE(Attitude_South[[#This Row],[Jan]:[Dec]]),"")</f>
        <v/>
      </c>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row>
    <row r="72" ht="15" customHeight="1">
      <c r="B72" s="252" t="inlineStr">
        <is>
          <t>Raj</t>
        </is>
      </c>
      <c r="C72" s="254" t="n"/>
      <c r="D72" s="254" t="n"/>
      <c r="E72" s="254" t="n"/>
      <c r="F72" s="254" t="n"/>
      <c r="G72" s="247" t="n"/>
      <c r="H72" s="247" t="n"/>
      <c r="I72" s="247" t="n"/>
      <c r="J72" s="247" t="n"/>
      <c r="K72" s="247" t="n"/>
      <c r="L72" s="247" t="n"/>
      <c r="M72" s="247" t="n"/>
      <c r="N72" s="247" t="n"/>
      <c r="O72" s="147">
        <f>IFERROR(AVERAGE(Attitude_South[[#This Row],[Jan]:[Dec]]),"")</f>
        <v/>
      </c>
      <c r="P72" s="220" t="n"/>
      <c r="Q72" s="220" t="n"/>
      <c r="R72" s="220" t="n"/>
      <c r="S72" s="220" t="n"/>
      <c r="T72" s="220" t="n"/>
      <c r="U72" s="220" t="n"/>
      <c r="V72" s="220" t="n"/>
      <c r="W72" s="220" t="n"/>
      <c r="X72" s="220" t="n"/>
      <c r="Y72" s="220" t="n"/>
      <c r="Z72" s="220" t="n"/>
      <c r="AA72" s="220" t="n"/>
      <c r="AB72" s="220" t="n"/>
      <c r="AC72" s="220" t="n"/>
      <c r="AD72" s="220" t="n"/>
      <c r="AE72" s="220" t="n"/>
      <c r="AF72" s="220" t="n"/>
      <c r="AG72" s="220" t="n"/>
      <c r="AH72" s="220" t="n"/>
    </row>
    <row r="73" ht="15" customHeight="1">
      <c r="B73" s="252" t="inlineStr">
        <is>
          <t>Steph</t>
        </is>
      </c>
      <c r="C73" s="254" t="n"/>
      <c r="D73" s="254" t="n"/>
      <c r="E73" s="254" t="n"/>
      <c r="F73" s="254" t="n"/>
      <c r="G73" s="247" t="n"/>
      <c r="H73" s="247" t="n"/>
      <c r="I73" s="247" t="n"/>
      <c r="J73" s="247" t="n"/>
      <c r="K73" s="247" t="n"/>
      <c r="L73" s="247" t="n"/>
      <c r="M73" s="247" t="n"/>
      <c r="N73" s="247" t="n"/>
      <c r="O73" s="147">
        <f>IFERROR(AVERAGE(Attitude_South[[#This Row],[Jan]:[Dec]]),"")</f>
        <v/>
      </c>
      <c r="P73" s="220" t="n"/>
      <c r="Q73" s="220" t="n"/>
      <c r="R73" s="220" t="n"/>
      <c r="S73" s="220" t="n"/>
      <c r="T73" s="220" t="n"/>
      <c r="U73" s="220" t="n"/>
      <c r="V73" s="220" t="n"/>
      <c r="W73" s="220" t="n"/>
      <c r="X73" s="220" t="n"/>
      <c r="Y73" s="220" t="n"/>
      <c r="Z73" s="220" t="n"/>
      <c r="AA73" s="220" t="n"/>
      <c r="AB73" s="220" t="n"/>
      <c r="AC73" s="220" t="n"/>
      <c r="AD73" s="220" t="n"/>
      <c r="AE73" s="220" t="n"/>
      <c r="AF73" s="220" t="n"/>
      <c r="AG73" s="220" t="n"/>
      <c r="AH73" s="220" t="n"/>
    </row>
    <row r="74">
      <c r="B74" s="252" t="inlineStr">
        <is>
          <t>Vincent</t>
        </is>
      </c>
      <c r="C74" s="254" t="n"/>
      <c r="D74" s="254" t="n"/>
      <c r="E74" s="254" t="n"/>
      <c r="F74" s="254" t="n"/>
      <c r="G74" s="247" t="n"/>
      <c r="H74" s="247" t="n"/>
      <c r="I74" s="247" t="n"/>
      <c r="J74" s="247" t="n"/>
      <c r="K74" s="247" t="n"/>
      <c r="L74" s="247" t="n"/>
      <c r="M74" s="247" t="n"/>
      <c r="N74" s="247" t="n"/>
      <c r="O74" s="147">
        <f>IFERROR(AVERAGE(Attitude_South[[#This Row],[Jan]:[Dec]]),"")</f>
        <v/>
      </c>
      <c r="P74" s="220" t="n"/>
      <c r="Q74" s="220" t="n"/>
      <c r="R74" s="220" t="n"/>
      <c r="S74" s="220" t="n"/>
      <c r="T74" s="220" t="n"/>
      <c r="U74" s="220" t="n"/>
      <c r="V74" s="220" t="n"/>
      <c r="W74" s="220" t="n"/>
      <c r="X74" s="220" t="n"/>
      <c r="Y74" s="220" t="n"/>
      <c r="Z74" s="220" t="n"/>
      <c r="AA74" s="220" t="n"/>
      <c r="AB74" s="220" t="n"/>
      <c r="AC74" s="220" t="n"/>
      <c r="AD74" s="220" t="n"/>
      <c r="AE74" s="220" t="n"/>
      <c r="AF74" s="220" t="n"/>
      <c r="AG74" s="220" t="n"/>
      <c r="AH74" s="220" t="n"/>
    </row>
    <row r="75" ht="15" customHeight="1">
      <c r="B75" s="255" t="inlineStr">
        <is>
          <t>Kate</t>
        </is>
      </c>
      <c r="C75" s="256" t="n"/>
      <c r="D75" s="256" t="n"/>
      <c r="E75" s="256" t="n"/>
      <c r="F75" s="256" t="n"/>
      <c r="G75" s="247" t="n"/>
      <c r="H75" s="247" t="n"/>
      <c r="I75" s="247" t="n"/>
      <c r="J75" s="247" t="n"/>
      <c r="K75" s="247" t="n"/>
      <c r="L75" s="247" t="n"/>
      <c r="M75" s="247" t="n"/>
      <c r="N75" s="247" t="n"/>
      <c r="O75" s="147">
        <f>IFERROR(AVERAGE(Attitude_South[[#This Row],[Jan]:[Dec]]),"")</f>
        <v/>
      </c>
      <c r="P75" s="220" t="n"/>
      <c r="Q75" s="220" t="n"/>
      <c r="R75" s="220" t="n"/>
      <c r="S75" s="220" t="n"/>
      <c r="T75" s="220" t="n"/>
      <c r="U75" s="220" t="n"/>
      <c r="V75" s="220" t="n"/>
      <c r="W75" s="220" t="n"/>
      <c r="X75" s="220" t="n"/>
      <c r="Y75" s="220" t="n"/>
      <c r="Z75" s="220" t="n"/>
      <c r="AA75" s="220" t="n"/>
      <c r="AB75" s="220" t="n"/>
      <c r="AC75" s="220" t="n"/>
      <c r="AD75" s="220" t="n"/>
      <c r="AE75" s="220" t="n"/>
      <c r="AF75" s="220" t="n"/>
      <c r="AG75" s="220" t="n"/>
      <c r="AH75" s="220" t="n"/>
    </row>
    <row r="76" ht="15" customHeight="1">
      <c r="B76" s="250" t="inlineStr">
        <is>
          <t>Shirley</t>
        </is>
      </c>
      <c r="C76" s="247" t="n"/>
      <c r="D76" s="247" t="n"/>
      <c r="E76" s="247" t="n"/>
      <c r="F76" s="247" t="n"/>
      <c r="G76" s="247" t="n"/>
      <c r="H76" s="247" t="n"/>
      <c r="I76" s="247" t="n"/>
      <c r="J76" s="247" t="n"/>
      <c r="K76" s="247" t="n"/>
      <c r="L76" s="247" t="n"/>
      <c r="M76" s="247" t="n"/>
      <c r="N76" s="247" t="n"/>
      <c r="O76" s="147">
        <f>IFERROR(AVERAGE(Attitude_South[[#This Row],[Jan]:[Dec]]),"")</f>
        <v/>
      </c>
      <c r="P76" s="220" t="n"/>
      <c r="Q76" s="220" t="n"/>
      <c r="R76" s="220" t="n"/>
      <c r="S76" s="220" t="n"/>
      <c r="T76" s="220" t="n"/>
      <c r="U76" s="220" t="n"/>
      <c r="V76" s="220" t="n"/>
      <c r="W76" s="220" t="n"/>
      <c r="X76" s="220" t="n"/>
      <c r="Y76" s="220" t="n"/>
      <c r="Z76" s="220" t="n"/>
      <c r="AA76" s="220" t="n"/>
      <c r="AB76" s="220" t="n"/>
      <c r="AC76" s="220" t="n"/>
      <c r="AD76" s="220" t="n"/>
      <c r="AE76" s="220" t="n"/>
      <c r="AF76" s="220" t="n"/>
      <c r="AG76" s="220" t="n"/>
      <c r="AH76" s="220" t="n"/>
    </row>
    <row r="77" ht="15" customHeight="1">
      <c r="B77" s="220" t="n"/>
      <c r="C77" s="220" t="n"/>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row>
    <row r="78" ht="15" customHeight="1">
      <c r="B78" s="220" t="n"/>
      <c r="C78" s="220" t="n"/>
      <c r="D78" s="220" t="n"/>
      <c r="E78" s="220" t="n"/>
      <c r="F78" s="220" t="n"/>
      <c r="G78" s="220" t="n"/>
      <c r="H78" s="220" t="n"/>
      <c r="I78" s="220" t="n"/>
      <c r="J78" s="220" t="n"/>
      <c r="K78" s="220" t="n"/>
      <c r="L78" s="220" t="n"/>
      <c r="M78" s="220" t="n"/>
      <c r="N78" s="220" t="n"/>
      <c r="O78" s="220" t="n"/>
      <c r="P78" s="220" t="n"/>
      <c r="Q78" s="220" t="n"/>
      <c r="R78" s="220" t="n"/>
      <c r="S78" s="220" t="n"/>
      <c r="T78" s="220" t="n"/>
      <c r="U78" s="220" t="n"/>
      <c r="V78" s="220" t="n"/>
      <c r="W78" s="220" t="n"/>
      <c r="X78" s="220" t="n"/>
      <c r="Y78" s="220" t="n"/>
      <c r="Z78" s="220" t="n"/>
      <c r="AA78" s="220" t="n"/>
      <c r="AB78" s="220" t="n"/>
      <c r="AC78" s="220" t="n"/>
      <c r="AD78" s="220" t="n"/>
      <c r="AE78" s="220" t="n"/>
      <c r="AF78" s="220" t="n"/>
      <c r="AG78" s="220" t="n"/>
      <c r="AH78" s="220" t="n"/>
    </row>
    <row r="79" ht="15" customHeight="1">
      <c r="B79" s="220" t="n"/>
      <c r="C79" s="220" t="n"/>
      <c r="D79" s="220" t="n"/>
      <c r="E79" s="98" t="n"/>
      <c r="F79" s="220" t="n"/>
      <c r="G79" s="220" t="n"/>
      <c r="H79" s="220" t="n"/>
      <c r="I79" s="220" t="n"/>
      <c r="J79" s="220" t="n"/>
      <c r="K79" s="220" t="n"/>
      <c r="L79" s="220" t="n"/>
      <c r="M79" s="220" t="n"/>
      <c r="N79" s="220" t="n"/>
      <c r="O79" s="220" t="n"/>
      <c r="P79" s="220" t="n"/>
      <c r="Q79" s="220" t="n"/>
      <c r="R79" s="220" t="n"/>
      <c r="S79" s="220" t="n"/>
      <c r="T79" s="220" t="n"/>
      <c r="U79" s="220" t="n"/>
      <c r="V79" s="220" t="n"/>
      <c r="W79" s="220" t="n"/>
      <c r="X79" s="220" t="n"/>
      <c r="Y79" s="220" t="n"/>
      <c r="Z79" s="220" t="n"/>
      <c r="AA79" s="220" t="n"/>
      <c r="AB79" s="220" t="n"/>
      <c r="AC79" s="220" t="n"/>
      <c r="AD79" s="220" t="n"/>
      <c r="AE79" s="220" t="n"/>
      <c r="AF79" s="220" t="n"/>
      <c r="AG79" s="220" t="n"/>
      <c r="AH79" s="220" t="n"/>
    </row>
    <row r="80" ht="15" customHeight="1">
      <c r="B80" s="220" t="n"/>
      <c r="C80" s="220" t="n"/>
      <c r="D80" s="220" t="n"/>
      <c r="E80" s="220" t="n"/>
      <c r="F80" s="220" t="n"/>
      <c r="G80" s="220" t="n"/>
      <c r="H80" s="220" t="n"/>
      <c r="I80" s="220" t="n"/>
      <c r="J80" s="220" t="n"/>
      <c r="K80" s="220" t="n"/>
      <c r="L80" s="220" t="n"/>
      <c r="M80" s="220" t="n"/>
      <c r="N80" s="220" t="n"/>
      <c r="O80" s="220" t="n"/>
      <c r="P80" s="220" t="n"/>
      <c r="Q80" s="220" t="n"/>
      <c r="R80" s="220" t="n"/>
      <c r="S80" s="220" t="n"/>
      <c r="T80" s="220" t="n"/>
      <c r="U80" s="220" t="n"/>
      <c r="V80" s="220" t="n"/>
      <c r="W80" s="220" t="n"/>
      <c r="X80" s="220" t="n"/>
      <c r="Y80" s="220" t="n"/>
      <c r="Z80" s="220" t="n"/>
      <c r="AA80" s="220" t="n"/>
      <c r="AB80" s="220" t="n"/>
      <c r="AC80" s="220" t="n"/>
      <c r="AD80" s="220" t="n"/>
      <c r="AE80" s="220" t="n"/>
      <c r="AF80" s="220" t="n"/>
      <c r="AG80" s="220" t="n"/>
      <c r="AH80" s="220" t="n"/>
    </row>
    <row r="81" ht="15" customHeight="1">
      <c r="B81" s="220" t="n"/>
      <c r="C81" s="220" t="n"/>
      <c r="D81" s="220" t="n"/>
      <c r="E81" s="220" t="n"/>
      <c r="F81" s="220" t="n"/>
      <c r="G81" s="220" t="n"/>
      <c r="H81" s="220" t="n"/>
      <c r="I81" s="220" t="n"/>
      <c r="J81" s="220" t="n"/>
      <c r="K81" s="220" t="n"/>
      <c r="L81" s="220" t="n"/>
      <c r="M81" s="220" t="n"/>
      <c r="N81" s="220" t="n"/>
      <c r="O81" s="220" t="n"/>
      <c r="P81" s="220" t="n"/>
      <c r="Q81" s="220" t="n"/>
      <c r="R81" s="220" t="n"/>
      <c r="S81" s="220" t="n"/>
      <c r="T81" s="220" t="n"/>
      <c r="U81" s="220" t="n"/>
      <c r="V81" s="220" t="n"/>
      <c r="W81" s="220" t="n"/>
      <c r="X81" s="220" t="n"/>
      <c r="Y81" s="220" t="n"/>
      <c r="Z81" s="220" t="n"/>
      <c r="AA81" s="220" t="n"/>
      <c r="AB81" s="220" t="n"/>
      <c r="AC81" s="220" t="n"/>
      <c r="AD81" s="220" t="n"/>
      <c r="AE81" s="220" t="n"/>
      <c r="AF81" s="220" t="n"/>
      <c r="AG81" s="220" t="n"/>
      <c r="AH81" s="220" t="n"/>
    </row>
    <row r="82" ht="15" customHeight="1">
      <c r="B82" s="220" t="n"/>
      <c r="C82" s="220" t="n"/>
      <c r="D82" s="220" t="n"/>
      <c r="E82" s="220" t="n"/>
      <c r="F82" s="220" t="n"/>
      <c r="G82" s="220" t="n"/>
      <c r="H82" s="220" t="n"/>
      <c r="I82" s="220" t="n"/>
      <c r="J82" s="220" t="n"/>
      <c r="K82" s="220" t="n"/>
      <c r="L82" s="220" t="n"/>
      <c r="M82" s="220" t="n"/>
      <c r="N82" s="220" t="n"/>
      <c r="O82" s="220" t="n"/>
      <c r="P82" s="220" t="n"/>
      <c r="Q82" s="220" t="n"/>
      <c r="R82" s="220" t="n"/>
      <c r="S82" s="220" t="n"/>
      <c r="T82" s="220" t="n"/>
      <c r="U82" s="220" t="n"/>
      <c r="V82" s="220" t="n"/>
      <c r="W82" s="220" t="n"/>
      <c r="X82" s="220" t="n"/>
      <c r="Y82" s="220" t="n"/>
      <c r="Z82" s="220" t="n"/>
      <c r="AA82" s="220" t="n"/>
      <c r="AB82" s="220" t="n"/>
      <c r="AC82" s="220" t="n"/>
      <c r="AD82" s="220" t="n"/>
      <c r="AE82" s="220" t="n"/>
      <c r="AF82" s="220" t="n"/>
      <c r="AG82" s="220" t="n"/>
      <c r="AH82" s="220" t="n"/>
    </row>
    <row r="83" ht="15" customHeight="1">
      <c r="B83" s="220" t="n"/>
      <c r="C83" s="220" t="n"/>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row>
    <row r="84" ht="15" customHeight="1">
      <c r="B84" s="220" t="n"/>
      <c r="C84" s="220" t="n"/>
      <c r="D84" s="220" t="n"/>
      <c r="E84" s="220" t="n"/>
      <c r="F84" s="220" t="n"/>
      <c r="G84" s="220" t="n"/>
      <c r="H84" s="220" t="n"/>
      <c r="I84" s="220" t="n"/>
      <c r="J84" s="220" t="n"/>
      <c r="K84" s="220" t="n"/>
      <c r="L84" s="220" t="n"/>
      <c r="M84" s="220" t="n"/>
      <c r="N84" s="220" t="n"/>
      <c r="O84" s="220" t="n"/>
      <c r="P84" s="220" t="n"/>
      <c r="Q84" s="220" t="n"/>
      <c r="R84" s="220" t="n"/>
      <c r="S84" s="220" t="n"/>
      <c r="T84" s="220" t="n"/>
      <c r="U84" s="220" t="n"/>
      <c r="V84" s="220" t="n"/>
      <c r="W84" s="220" t="n"/>
      <c r="X84" s="220" t="n"/>
      <c r="Y84" s="220" t="n"/>
      <c r="Z84" s="220" t="n"/>
      <c r="AA84" s="220" t="n"/>
      <c r="AB84" s="220" t="n"/>
      <c r="AC84" s="220" t="n"/>
      <c r="AD84" s="220" t="n"/>
      <c r="AE84" s="220" t="n"/>
      <c r="AF84" s="220" t="n"/>
      <c r="AG84" s="220" t="n"/>
      <c r="AH84" s="220" t="n"/>
    </row>
    <row r="85" ht="15" customHeight="1">
      <c r="B85" s="220" t="n"/>
      <c r="C85" s="220" t="n"/>
      <c r="D85" s="220" t="n"/>
      <c r="E85" s="220" t="n"/>
      <c r="F85" s="220" t="n"/>
      <c r="G85" s="220" t="n"/>
      <c r="H85" s="220" t="n"/>
      <c r="I85" s="220" t="n"/>
      <c r="J85" s="220" t="n"/>
      <c r="K85" s="220" t="n"/>
      <c r="L85" s="220" t="n"/>
      <c r="M85" s="220" t="n"/>
      <c r="N85" s="220" t="n"/>
      <c r="O85" s="220" t="n"/>
      <c r="P85" s="220" t="n"/>
      <c r="Q85" s="220" t="n"/>
      <c r="R85" s="220" t="n"/>
      <c r="S85" s="220" t="n"/>
      <c r="T85" s="220" t="n"/>
      <c r="U85" s="220" t="n"/>
      <c r="V85" s="220" t="n"/>
      <c r="W85" s="220" t="n"/>
      <c r="X85" s="220" t="n"/>
      <c r="Y85" s="220" t="n"/>
      <c r="Z85" s="220" t="n"/>
      <c r="AA85" s="220" t="n"/>
      <c r="AB85" s="220" t="n"/>
      <c r="AC85" s="220" t="n"/>
      <c r="AD85" s="220" t="n"/>
      <c r="AE85" s="220" t="n"/>
      <c r="AF85" s="220" t="n"/>
      <c r="AG85" s="220" t="n"/>
      <c r="AH85" s="220" t="n"/>
    </row>
    <row r="86" ht="15" customHeight="1">
      <c r="B86" s="220" t="n"/>
      <c r="C86" s="220" t="n"/>
      <c r="D86" s="220" t="n"/>
      <c r="E86" s="220" t="n"/>
      <c r="F86" s="220" t="n"/>
      <c r="G86" s="220" t="n"/>
      <c r="H86" s="220" t="n"/>
      <c r="I86" s="220" t="n"/>
      <c r="J86" s="220" t="n"/>
      <c r="K86" s="220" t="n"/>
      <c r="L86" s="220" t="n"/>
      <c r="M86" s="220" t="n"/>
      <c r="N86" s="220" t="n"/>
      <c r="O86" s="220" t="n"/>
      <c r="P86" s="220" t="n"/>
      <c r="Q86" s="220" t="n"/>
      <c r="R86" s="220" t="n"/>
      <c r="S86" s="220" t="n"/>
      <c r="T86" s="220" t="n"/>
      <c r="U86" s="220" t="n"/>
      <c r="V86" s="220" t="n"/>
      <c r="W86" s="220" t="n"/>
      <c r="X86" s="220" t="n"/>
      <c r="Y86" s="220" t="n"/>
      <c r="Z86" s="220" t="n"/>
      <c r="AA86" s="220" t="n"/>
      <c r="AB86" s="220" t="n"/>
      <c r="AC86" s="220" t="n"/>
      <c r="AD86" s="220" t="n"/>
      <c r="AE86" s="220" t="n"/>
      <c r="AF86" s="220" t="n"/>
      <c r="AG86" s="220" t="n"/>
      <c r="AH86" s="220" t="n"/>
    </row>
    <row r="87" ht="15" customHeight="1">
      <c r="B87" s="220" t="n"/>
      <c r="C87" s="220" t="n"/>
      <c r="D87" s="220" t="n"/>
      <c r="E87" s="220" t="n"/>
      <c r="F87" s="220" t="n"/>
      <c r="G87" s="220" t="n"/>
      <c r="H87" s="220" t="n"/>
      <c r="I87" s="220" t="n"/>
      <c r="J87" s="220" t="n"/>
      <c r="K87" s="220" t="n"/>
      <c r="L87" s="220" t="n"/>
      <c r="M87" s="220" t="n"/>
      <c r="N87" s="220" t="n"/>
      <c r="O87" s="220" t="n"/>
      <c r="P87" s="220" t="n"/>
      <c r="Q87" s="220" t="n"/>
      <c r="R87" s="220" t="n"/>
      <c r="S87" s="220" t="n"/>
      <c r="T87" s="220" t="n"/>
      <c r="U87" s="220" t="n"/>
      <c r="V87" s="220" t="n"/>
      <c r="W87" s="220" t="n"/>
      <c r="X87" s="220" t="n"/>
      <c r="Y87" s="220" t="n"/>
      <c r="Z87" s="220" t="n"/>
      <c r="AA87" s="220" t="n"/>
      <c r="AB87" s="220" t="n"/>
      <c r="AC87" s="220" t="n"/>
      <c r="AD87" s="220" t="n"/>
      <c r="AE87" s="220" t="n"/>
      <c r="AF87" s="220" t="n"/>
      <c r="AG87" s="220" t="n"/>
      <c r="AH87" s="220" t="n"/>
    </row>
    <row r="88" ht="15" customHeight="1">
      <c r="B88" s="220" t="n"/>
      <c r="C88" s="220" t="n"/>
      <c r="D88" s="220" t="n"/>
      <c r="E88" s="220" t="n"/>
      <c r="F88" s="220" t="n"/>
      <c r="G88" s="220" t="n"/>
      <c r="H88" s="220" t="n"/>
      <c r="I88" s="220" t="n"/>
      <c r="J88" s="220" t="n"/>
      <c r="K88" s="220" t="n"/>
      <c r="L88" s="220" t="n"/>
      <c r="M88" s="220" t="n"/>
      <c r="N88" s="220" t="n"/>
      <c r="O88" s="220" t="n"/>
      <c r="P88" s="220" t="n"/>
      <c r="Q88" s="220" t="n"/>
      <c r="R88" s="220" t="n"/>
      <c r="S88" s="220" t="n"/>
      <c r="T88" s="220" t="n"/>
      <c r="U88" s="220" t="n"/>
      <c r="V88" s="220" t="n"/>
      <c r="W88" s="220" t="n"/>
      <c r="X88" s="220" t="n"/>
      <c r="Y88" s="220" t="n"/>
      <c r="Z88" s="220" t="n"/>
      <c r="AA88" s="220" t="n"/>
      <c r="AB88" s="220" t="n"/>
      <c r="AC88" s="220" t="n"/>
      <c r="AD88" s="220" t="n"/>
      <c r="AE88" s="220" t="n"/>
      <c r="AF88" s="220" t="n"/>
      <c r="AG88" s="220" t="n"/>
      <c r="AH88" s="220" t="n"/>
    </row>
    <row r="89" ht="15" customHeight="1">
      <c r="B89" s="220" t="n"/>
      <c r="C89" s="220" t="n"/>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row>
    <row r="90" ht="15" customHeight="1">
      <c r="B90" s="220" t="n"/>
      <c r="C90" s="220" t="n"/>
      <c r="D90" s="220" t="n"/>
      <c r="E90" s="220" t="n"/>
      <c r="F90" s="220" t="n"/>
      <c r="G90" s="220" t="n"/>
      <c r="H90" s="220" t="n"/>
      <c r="I90" s="220" t="n"/>
      <c r="J90" s="220" t="n"/>
      <c r="K90" s="220" t="n"/>
      <c r="L90" s="220" t="n"/>
      <c r="M90" s="220" t="n"/>
      <c r="N90" s="220" t="n"/>
      <c r="O90" s="220" t="n"/>
      <c r="P90" s="220" t="n"/>
      <c r="Q90" s="220" t="n"/>
      <c r="R90" s="220" t="n"/>
      <c r="S90" s="220" t="n"/>
      <c r="T90" s="220" t="n"/>
      <c r="U90" s="220" t="n"/>
      <c r="V90" s="220" t="n"/>
      <c r="W90" s="220" t="n"/>
      <c r="X90" s="220" t="n"/>
      <c r="Y90" s="220" t="n"/>
      <c r="Z90" s="220" t="n"/>
      <c r="AA90" s="220" t="n"/>
      <c r="AB90" s="220" t="n"/>
      <c r="AC90" s="220" t="n"/>
      <c r="AD90" s="220" t="n"/>
      <c r="AE90" s="220" t="n"/>
      <c r="AF90" s="220" t="n"/>
      <c r="AG90" s="220" t="n"/>
      <c r="AH90" s="220" t="n"/>
    </row>
    <row r="91" ht="15" customHeight="1">
      <c r="B91" s="220" t="n"/>
      <c r="C91" s="220" t="n"/>
      <c r="D91" s="220" t="n"/>
      <c r="E91" s="220" t="n"/>
      <c r="F91" s="220" t="n"/>
      <c r="G91" s="220" t="n"/>
      <c r="H91" s="220" t="n"/>
      <c r="I91" s="220" t="n"/>
      <c r="J91" s="220" t="n"/>
      <c r="K91" s="220" t="n"/>
      <c r="L91" s="220" t="n"/>
      <c r="M91" s="220" t="n"/>
      <c r="N91" s="220" t="n"/>
      <c r="O91" s="220" t="n"/>
      <c r="P91" s="220" t="n"/>
      <c r="Q91" s="220" t="n"/>
      <c r="R91" s="220" t="n"/>
      <c r="S91" s="220" t="n"/>
      <c r="T91" s="220" t="n"/>
      <c r="U91" s="220" t="n"/>
      <c r="V91" s="220" t="n"/>
      <c r="W91" s="220" t="n"/>
      <c r="X91" s="220" t="n"/>
      <c r="Y91" s="220" t="n"/>
      <c r="Z91" s="220" t="n"/>
      <c r="AA91" s="220" t="n"/>
      <c r="AB91" s="220" t="n"/>
      <c r="AC91" s="220" t="n"/>
      <c r="AD91" s="220" t="n"/>
      <c r="AE91" s="220" t="n"/>
      <c r="AF91" s="220" t="n"/>
      <c r="AG91" s="220" t="n"/>
      <c r="AH91" s="220" t="n"/>
    </row>
    <row r="92" ht="15" customHeight="1">
      <c r="B92" s="220" t="n"/>
      <c r="C92" s="220" t="n"/>
      <c r="D92" s="220" t="n"/>
      <c r="E92" s="220" t="n"/>
      <c r="F92" s="220" t="n"/>
      <c r="G92" s="220" t="n"/>
      <c r="H92" s="220" t="n"/>
      <c r="I92" s="220" t="n"/>
      <c r="J92" s="220" t="n"/>
      <c r="K92" s="220" t="n"/>
      <c r="L92" s="220" t="n"/>
      <c r="M92" s="220" t="n"/>
      <c r="N92" s="220" t="n"/>
      <c r="O92" s="220" t="n"/>
      <c r="P92" s="220" t="n"/>
      <c r="Q92" s="220" t="n"/>
      <c r="R92" s="220" t="n"/>
      <c r="S92" s="220" t="n"/>
      <c r="T92" s="220" t="n"/>
      <c r="U92" s="220" t="n"/>
      <c r="V92" s="220" t="n"/>
      <c r="W92" s="220" t="n"/>
      <c r="X92" s="220" t="n"/>
      <c r="Y92" s="220" t="n"/>
      <c r="Z92" s="220" t="n"/>
      <c r="AA92" s="220" t="n"/>
      <c r="AB92" s="220" t="n"/>
      <c r="AC92" s="220" t="n"/>
      <c r="AD92" s="220" t="n"/>
      <c r="AE92" s="220" t="n"/>
      <c r="AF92" s="220" t="n"/>
      <c r="AG92" s="220" t="n"/>
      <c r="AH92" s="220" t="n"/>
    </row>
    <row r="93" ht="15" customHeight="1">
      <c r="B93" s="220" t="n"/>
      <c r="C93" s="220" t="n"/>
      <c r="D93" s="220" t="n"/>
      <c r="E93" s="220" t="n"/>
      <c r="F93" s="220" t="n"/>
      <c r="G93" s="220" t="n"/>
      <c r="H93" s="220" t="n"/>
      <c r="I93" s="220" t="n"/>
      <c r="J93" s="220" t="n"/>
      <c r="K93" s="220" t="n"/>
      <c r="L93" s="220" t="n"/>
      <c r="M93" s="220" t="n"/>
      <c r="N93" s="220" t="n"/>
      <c r="O93" s="220" t="n"/>
      <c r="P93" s="220" t="n"/>
      <c r="Q93" s="220" t="n"/>
      <c r="R93" s="220" t="n"/>
      <c r="S93" s="220" t="n"/>
      <c r="T93" s="220" t="n"/>
      <c r="U93" s="220" t="n"/>
      <c r="V93" s="220" t="n"/>
      <c r="W93" s="220" t="n"/>
      <c r="X93" s="220" t="n"/>
      <c r="Y93" s="220" t="n"/>
      <c r="Z93" s="220" t="n"/>
      <c r="AA93" s="220" t="n"/>
      <c r="AB93" s="220" t="n"/>
      <c r="AC93" s="220" t="n"/>
      <c r="AD93" s="220" t="n"/>
      <c r="AE93" s="220" t="n"/>
      <c r="AF93" s="220" t="n"/>
      <c r="AG93" s="220" t="n"/>
      <c r="AH93" s="220" t="n"/>
    </row>
    <row r="94" ht="15" customHeight="1">
      <c r="B94" s="220" t="n"/>
      <c r="C94" s="220" t="n"/>
      <c r="D94" s="220" t="n"/>
      <c r="E94" s="220" t="n"/>
      <c r="F94" s="220" t="n"/>
      <c r="G94" s="220" t="n"/>
      <c r="H94" s="220" t="n"/>
      <c r="I94" s="220" t="n"/>
      <c r="J94" s="220" t="n"/>
      <c r="K94" s="220" t="n"/>
      <c r="L94" s="220" t="n"/>
      <c r="M94" s="220" t="n"/>
      <c r="N94" s="220" t="n"/>
      <c r="O94" s="220" t="n"/>
      <c r="P94" s="220" t="n"/>
      <c r="Q94" s="220" t="n"/>
      <c r="R94" s="220" t="n"/>
      <c r="S94" s="220" t="n"/>
      <c r="T94" s="220" t="n"/>
      <c r="U94" s="220" t="n"/>
      <c r="V94" s="220" t="n"/>
      <c r="W94" s="220" t="n"/>
      <c r="X94" s="220" t="n"/>
      <c r="Y94" s="220" t="n"/>
      <c r="Z94" s="220" t="n"/>
      <c r="AA94" s="220" t="n"/>
      <c r="AB94" s="220" t="n"/>
      <c r="AC94" s="220" t="n"/>
      <c r="AD94" s="220" t="n"/>
      <c r="AE94" s="220" t="n"/>
      <c r="AF94" s="220" t="n"/>
      <c r="AG94" s="220" t="n"/>
      <c r="AH94" s="220" t="n"/>
    </row>
    <row r="95" ht="15" customHeight="1">
      <c r="B95" s="220" t="n"/>
      <c r="C95" s="220" t="n"/>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row>
    <row r="96" ht="15" customHeight="1">
      <c r="B96" s="220" t="n"/>
      <c r="C96" s="220" t="n"/>
      <c r="D96" s="220" t="n"/>
      <c r="E96" s="220" t="n"/>
      <c r="F96" s="220" t="n"/>
      <c r="G96" s="220" t="n"/>
      <c r="H96" s="220" t="n"/>
      <c r="I96" s="220" t="n"/>
      <c r="J96" s="220" t="n"/>
      <c r="K96" s="220" t="n"/>
      <c r="L96" s="220" t="n"/>
      <c r="M96" s="220" t="n"/>
      <c r="N96" s="220" t="n"/>
      <c r="O96" s="220" t="n"/>
      <c r="P96" s="220" t="n"/>
      <c r="Q96" s="220" t="n"/>
      <c r="R96" s="220" t="n"/>
      <c r="S96" s="220" t="n"/>
      <c r="T96" s="220" t="n"/>
      <c r="U96" s="220" t="n"/>
      <c r="V96" s="220" t="n"/>
      <c r="W96" s="220" t="n"/>
      <c r="X96" s="220" t="n"/>
      <c r="Y96" s="220" t="n"/>
      <c r="Z96" s="220" t="n"/>
      <c r="AA96" s="220" t="n"/>
      <c r="AB96" s="220" t="n"/>
      <c r="AC96" s="220" t="n"/>
      <c r="AD96" s="220" t="n"/>
      <c r="AE96" s="220" t="n"/>
      <c r="AF96" s="220" t="n"/>
      <c r="AG96" s="220" t="n"/>
      <c r="AH96" s="220" t="n"/>
    </row>
    <row r="97" ht="15" customHeight="1">
      <c r="B97" s="220" t="n"/>
      <c r="C97" s="220" t="n"/>
      <c r="D97" s="220" t="n"/>
      <c r="E97" s="220" t="n"/>
      <c r="F97" s="220" t="n"/>
      <c r="G97" s="220" t="n"/>
      <c r="H97" s="220" t="n"/>
      <c r="I97" s="220" t="n"/>
      <c r="J97" s="220" t="n"/>
      <c r="K97" s="220" t="n"/>
      <c r="L97" s="220" t="n"/>
      <c r="M97" s="220" t="n"/>
      <c r="N97" s="220" t="n"/>
      <c r="O97" s="220" t="n"/>
      <c r="P97" s="220" t="n"/>
      <c r="Q97" s="220" t="n"/>
      <c r="R97" s="220" t="n"/>
      <c r="S97" s="220" t="n"/>
      <c r="T97" s="220" t="n"/>
      <c r="U97" s="220" t="n"/>
      <c r="V97" s="220" t="n"/>
      <c r="W97" s="220" t="n"/>
      <c r="X97" s="220" t="n"/>
      <c r="Y97" s="220" t="n"/>
      <c r="Z97" s="220" t="n"/>
      <c r="AA97" s="220" t="n"/>
      <c r="AB97" s="220" t="n"/>
      <c r="AC97" s="220" t="n"/>
      <c r="AD97" s="220" t="n"/>
      <c r="AE97" s="220" t="n"/>
      <c r="AF97" s="220" t="n"/>
      <c r="AG97" s="220" t="n"/>
      <c r="AH97" s="220" t="n"/>
    </row>
    <row r="98" ht="15" customHeight="1">
      <c r="B98" s="220" t="n"/>
      <c r="C98" s="220" t="n"/>
      <c r="D98" s="220" t="n"/>
      <c r="E98" s="220" t="n"/>
      <c r="F98" s="220" t="n"/>
      <c r="G98" s="220" t="n"/>
      <c r="H98" s="220" t="n"/>
      <c r="I98" s="220" t="n"/>
      <c r="J98" s="220" t="n"/>
      <c r="K98" s="220" t="n"/>
      <c r="L98" s="220" t="n"/>
      <c r="M98" s="220" t="n"/>
      <c r="N98" s="220" t="n"/>
      <c r="O98" s="220" t="n"/>
      <c r="P98" s="220" t="n"/>
      <c r="Q98" s="220" t="n"/>
      <c r="R98" s="220" t="n"/>
      <c r="S98" s="220" t="n"/>
      <c r="T98" s="220" t="n"/>
      <c r="U98" s="220" t="n"/>
      <c r="V98" s="220" t="n"/>
      <c r="W98" s="220" t="n"/>
      <c r="X98" s="220" t="n"/>
      <c r="Y98" s="220" t="n"/>
      <c r="Z98" s="220" t="n"/>
      <c r="AA98" s="220" t="n"/>
      <c r="AB98" s="220" t="n"/>
      <c r="AC98" s="220" t="n"/>
      <c r="AD98" s="220" t="n"/>
      <c r="AE98" s="220" t="n"/>
      <c r="AF98" s="220" t="n"/>
      <c r="AG98" s="220" t="n"/>
      <c r="AH98" s="220" t="n"/>
    </row>
    <row r="99" ht="15" customHeight="1">
      <c r="B99" s="220" t="n"/>
      <c r="C99" s="220" t="n"/>
      <c r="D99" s="220" t="n"/>
      <c r="E99" s="220" t="n"/>
      <c r="F99" s="220" t="n"/>
      <c r="G99" s="220" t="n"/>
      <c r="H99" s="220" t="n"/>
      <c r="I99" s="220" t="n"/>
      <c r="J99" s="220" t="n"/>
      <c r="K99" s="220" t="n"/>
      <c r="L99" s="220" t="n"/>
      <c r="M99" s="220" t="n"/>
      <c r="N99" s="220" t="n"/>
      <c r="O99" s="220" t="n"/>
      <c r="P99" s="220" t="n"/>
      <c r="Q99" s="220" t="n"/>
      <c r="R99" s="220" t="n"/>
      <c r="S99" s="220" t="n"/>
      <c r="T99" s="220" t="n"/>
      <c r="U99" s="220" t="n"/>
      <c r="V99" s="220" t="n"/>
      <c r="W99" s="220" t="n"/>
      <c r="X99" s="220" t="n"/>
      <c r="Y99" s="220" t="n"/>
      <c r="Z99" s="220" t="n"/>
      <c r="AA99" s="220" t="n"/>
      <c r="AB99" s="220" t="n"/>
      <c r="AC99" s="220" t="n"/>
      <c r="AD99" s="220" t="n"/>
      <c r="AE99" s="220" t="n"/>
      <c r="AF99" s="220" t="n"/>
      <c r="AG99" s="220" t="n"/>
      <c r="AH99" s="220" t="n"/>
    </row>
    <row r="100" ht="15" customHeight="1">
      <c r="B100" s="220" t="n"/>
      <c r="C100" s="220" t="n"/>
      <c r="D100" s="220" t="n"/>
      <c r="E100" s="220" t="n"/>
      <c r="F100" s="220" t="n"/>
      <c r="G100" s="220" t="n"/>
      <c r="H100" s="220" t="n"/>
      <c r="I100" s="220" t="n"/>
      <c r="J100" s="220" t="n"/>
      <c r="K100" s="220" t="n"/>
      <c r="L100" s="220" t="n"/>
      <c r="M100" s="220" t="n"/>
      <c r="N100" s="220" t="n"/>
      <c r="O100" s="220" t="n"/>
      <c r="P100" s="220" t="n"/>
      <c r="Q100" s="220" t="n"/>
      <c r="R100" s="220" t="n"/>
      <c r="S100" s="220" t="n"/>
      <c r="T100" s="220" t="n"/>
      <c r="U100" s="220" t="n"/>
      <c r="V100" s="220" t="n"/>
      <c r="W100" s="220" t="n"/>
      <c r="X100" s="220" t="n"/>
      <c r="Y100" s="220" t="n"/>
      <c r="Z100" s="220" t="n"/>
      <c r="AA100" s="220" t="n"/>
      <c r="AB100" s="220" t="n"/>
      <c r="AC100" s="220" t="n"/>
      <c r="AD100" s="220" t="n"/>
      <c r="AE100" s="220" t="n"/>
      <c r="AF100" s="220" t="n"/>
      <c r="AG100" s="220" t="n"/>
      <c r="AH100" s="220" t="n"/>
    </row>
    <row r="101" ht="15" customHeight="1">
      <c r="B101" s="220" t="n"/>
      <c r="C101" s="220" t="n"/>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row>
    <row r="102" ht="15" customHeight="1">
      <c r="B102" s="220" t="n"/>
      <c r="C102" s="220" t="n"/>
      <c r="D102" s="220" t="n"/>
      <c r="E102" s="220" t="n"/>
      <c r="F102" s="220" t="n"/>
      <c r="G102" s="220" t="n"/>
      <c r="H102" s="220" t="n"/>
      <c r="I102" s="220" t="n"/>
      <c r="J102" s="220" t="n"/>
      <c r="K102" s="220" t="n"/>
      <c r="L102" s="220" t="n"/>
      <c r="M102" s="220" t="n"/>
      <c r="N102" s="220" t="n"/>
      <c r="O102" s="220" t="n"/>
      <c r="P102" s="220" t="n"/>
      <c r="Q102" s="220" t="n"/>
      <c r="R102" s="220" t="n"/>
      <c r="S102" s="220" t="n"/>
      <c r="T102" s="220" t="n"/>
      <c r="U102" s="220" t="n"/>
      <c r="V102" s="220" t="n"/>
      <c r="W102" s="220" t="n"/>
      <c r="X102" s="220" t="n"/>
      <c r="Y102" s="220" t="n"/>
      <c r="Z102" s="220" t="n"/>
      <c r="AA102" s="220" t="n"/>
      <c r="AB102" s="220" t="n"/>
      <c r="AC102" s="220" t="n"/>
      <c r="AD102" s="220" t="n"/>
      <c r="AE102" s="220" t="n"/>
      <c r="AF102" s="220" t="n"/>
      <c r="AG102" s="220" t="n"/>
      <c r="AH102" s="220" t="n"/>
    </row>
    <row r="103" ht="15" customHeight="1">
      <c r="B103" s="220" t="n"/>
      <c r="C103" s="220" t="n"/>
      <c r="D103" s="220" t="n"/>
      <c r="E103" s="220" t="n"/>
      <c r="F103" s="220" t="n"/>
      <c r="G103" s="220" t="n"/>
      <c r="H103" s="220" t="n"/>
      <c r="I103" s="220" t="n"/>
      <c r="J103" s="220" t="n"/>
      <c r="K103" s="220" t="n"/>
      <c r="L103" s="220" t="n"/>
      <c r="M103" s="220" t="n"/>
      <c r="N103" s="220" t="n"/>
      <c r="O103" s="220" t="n"/>
      <c r="P103" s="220" t="n"/>
      <c r="Q103" s="220" t="n"/>
      <c r="R103" s="220" t="n"/>
      <c r="S103" s="220" t="n"/>
      <c r="T103" s="220" t="n"/>
      <c r="U103" s="220" t="n"/>
      <c r="V103" s="220" t="n"/>
      <c r="W103" s="220" t="n"/>
      <c r="X103" s="220" t="n"/>
      <c r="Y103" s="220" t="n"/>
      <c r="Z103" s="220" t="n"/>
      <c r="AA103" s="220" t="n"/>
      <c r="AB103" s="220" t="n"/>
      <c r="AC103" s="220" t="n"/>
      <c r="AD103" s="220" t="n"/>
      <c r="AE103" s="220" t="n"/>
      <c r="AF103" s="220" t="n"/>
      <c r="AG103" s="220" t="n"/>
      <c r="AH103" s="220" t="n"/>
    </row>
    <row r="104" ht="15" customHeight="1">
      <c r="B104" s="220" t="n"/>
      <c r="C104" s="220" t="n"/>
      <c r="D104" s="220" t="n"/>
      <c r="E104" s="220" t="n"/>
      <c r="F104" s="220" t="n"/>
      <c r="G104" s="220" t="n"/>
      <c r="H104" s="220" t="n"/>
      <c r="I104" s="220" t="n"/>
      <c r="J104" s="220" t="n"/>
      <c r="K104" s="220" t="n"/>
      <c r="L104" s="220" t="n"/>
      <c r="M104" s="220" t="n"/>
      <c r="N104" s="220" t="n"/>
      <c r="O104" s="220" t="n"/>
      <c r="P104" s="220" t="n"/>
      <c r="Q104" s="220" t="n"/>
      <c r="R104" s="220" t="n"/>
      <c r="S104" s="220" t="n"/>
      <c r="T104" s="220" t="n"/>
      <c r="U104" s="220" t="n"/>
      <c r="V104" s="220" t="n"/>
      <c r="W104" s="220" t="n"/>
      <c r="X104" s="220" t="n"/>
      <c r="Y104" s="220" t="n"/>
      <c r="Z104" s="220" t="n"/>
      <c r="AA104" s="220" t="n"/>
      <c r="AB104" s="220" t="n"/>
      <c r="AC104" s="220" t="n"/>
      <c r="AD104" s="220" t="n"/>
      <c r="AE104" s="220" t="n"/>
      <c r="AF104" s="220" t="n"/>
      <c r="AG104" s="220" t="n"/>
      <c r="AH104" s="220" t="n"/>
    </row>
    <row r="105" ht="15" customHeight="1">
      <c r="B105" s="220" t="n"/>
      <c r="C105" s="220" t="n"/>
      <c r="D105" s="220" t="n"/>
      <c r="E105" s="220" t="n"/>
      <c r="F105" s="220" t="n"/>
      <c r="G105" s="220" t="n"/>
      <c r="H105" s="220" t="n"/>
      <c r="I105" s="220" t="n"/>
      <c r="J105" s="220" t="n"/>
      <c r="K105" s="220" t="n"/>
      <c r="L105" s="220" t="n"/>
      <c r="M105" s="220" t="n"/>
      <c r="N105" s="220" t="n"/>
      <c r="O105" s="220" t="n"/>
      <c r="P105" s="220" t="n"/>
      <c r="Q105" s="220" t="n"/>
      <c r="R105" s="220" t="n"/>
      <c r="S105" s="220" t="n"/>
      <c r="T105" s="220" t="n"/>
      <c r="U105" s="220" t="n"/>
      <c r="V105" s="220" t="n"/>
      <c r="W105" s="220" t="n"/>
      <c r="X105" s="220" t="n"/>
      <c r="Y105" s="220" t="n"/>
      <c r="Z105" s="220" t="n"/>
      <c r="AA105" s="220" t="n"/>
      <c r="AB105" s="220" t="n"/>
      <c r="AC105" s="220" t="n"/>
      <c r="AD105" s="220" t="n"/>
      <c r="AE105" s="220" t="n"/>
      <c r="AF105" s="220" t="n"/>
      <c r="AG105" s="220" t="n"/>
      <c r="AH105" s="220" t="n"/>
    </row>
    <row r="106" ht="15" customHeight="1">
      <c r="B106" s="220" t="n"/>
      <c r="C106" s="220" t="n"/>
      <c r="D106" s="220" t="n"/>
      <c r="E106" s="220" t="n"/>
      <c r="F106" s="220" t="n"/>
      <c r="G106" s="220" t="n"/>
      <c r="H106" s="220" t="n"/>
      <c r="I106" s="220" t="n"/>
      <c r="J106" s="220" t="n"/>
      <c r="K106" s="220" t="n"/>
      <c r="L106" s="220" t="n"/>
      <c r="M106" s="220" t="n"/>
      <c r="N106" s="220" t="n"/>
      <c r="O106" s="220" t="n"/>
      <c r="P106" s="220" t="n"/>
      <c r="Q106" s="220" t="n"/>
      <c r="R106" s="220" t="n"/>
      <c r="S106" s="220" t="n"/>
      <c r="T106" s="220" t="n"/>
      <c r="U106" s="220" t="n"/>
      <c r="V106" s="220" t="n"/>
      <c r="W106" s="220" t="n"/>
      <c r="X106" s="220" t="n"/>
      <c r="Y106" s="220" t="n"/>
      <c r="Z106" s="220" t="n"/>
      <c r="AA106" s="220" t="n"/>
      <c r="AB106" s="220" t="n"/>
      <c r="AC106" s="220" t="n"/>
      <c r="AD106" s="220" t="n"/>
      <c r="AE106" s="220" t="n"/>
      <c r="AF106" s="220" t="n"/>
      <c r="AG106" s="220" t="n"/>
      <c r="AH106" s="220" t="n"/>
    </row>
    <row r="107" ht="15" customHeight="1">
      <c r="B107" s="220" t="n"/>
      <c r="C107" s="220" t="n"/>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row>
    <row r="108" ht="15" customHeight="1">
      <c r="B108" s="220" t="n"/>
      <c r="C108" s="220" t="n"/>
      <c r="D108" s="220" t="n"/>
      <c r="E108" s="220" t="n"/>
      <c r="F108" s="220" t="n"/>
      <c r="G108" s="220" t="n"/>
      <c r="H108" s="220" t="n"/>
      <c r="I108" s="220" t="n"/>
      <c r="J108" s="220" t="n"/>
      <c r="K108" s="220" t="n"/>
      <c r="L108" s="220" t="n"/>
      <c r="M108" s="220" t="n"/>
      <c r="N108" s="220" t="n"/>
      <c r="O108" s="220" t="n"/>
      <c r="P108" s="220" t="n"/>
      <c r="Q108" s="220" t="n"/>
      <c r="R108" s="220" t="n"/>
      <c r="S108" s="220" t="n"/>
      <c r="T108" s="220" t="n"/>
      <c r="U108" s="220" t="n"/>
      <c r="V108" s="220" t="n"/>
      <c r="W108" s="220" t="n"/>
      <c r="X108" s="220" t="n"/>
      <c r="Y108" s="220" t="n"/>
      <c r="Z108" s="220" t="n"/>
      <c r="AA108" s="220" t="n"/>
      <c r="AB108" s="220" t="n"/>
      <c r="AC108" s="220" t="n"/>
      <c r="AD108" s="220" t="n"/>
      <c r="AE108" s="220" t="n"/>
      <c r="AF108" s="220" t="n"/>
      <c r="AG108" s="220" t="n"/>
      <c r="AH108" s="220" t="n"/>
    </row>
    <row r="109" ht="15" customHeight="1">
      <c r="B109" s="220" t="n"/>
      <c r="C109" s="220" t="n"/>
      <c r="D109" s="220" t="n"/>
      <c r="E109" s="220" t="n"/>
      <c r="F109" s="220" t="n"/>
      <c r="G109" s="220" t="n"/>
      <c r="H109" s="220" t="n"/>
      <c r="I109" s="220" t="n"/>
      <c r="J109" s="220" t="n"/>
      <c r="K109" s="220" t="n"/>
      <c r="L109" s="220" t="n"/>
      <c r="M109" s="220" t="n"/>
      <c r="N109" s="220" t="n"/>
      <c r="O109" s="220" t="n"/>
      <c r="P109" s="220" t="n"/>
      <c r="Q109" s="220" t="n"/>
      <c r="R109" s="220" t="n"/>
      <c r="S109" s="220" t="n"/>
      <c r="T109" s="220" t="n"/>
      <c r="U109" s="220" t="n"/>
      <c r="V109" s="220" t="n"/>
      <c r="W109" s="220" t="n"/>
      <c r="X109" s="220" t="n"/>
      <c r="Y109" s="220" t="n"/>
      <c r="Z109" s="220" t="n"/>
      <c r="AA109" s="220" t="n"/>
      <c r="AB109" s="220" t="n"/>
      <c r="AC109" s="220" t="n"/>
      <c r="AD109" s="220" t="n"/>
      <c r="AE109" s="220" t="n"/>
      <c r="AF109" s="220" t="n"/>
      <c r="AG109" s="220" t="n"/>
      <c r="AH109" s="220" t="n"/>
    </row>
    <row r="110" ht="15" customHeight="1">
      <c r="B110" s="220" t="n"/>
      <c r="C110" s="220" t="n"/>
      <c r="D110" s="220" t="n"/>
      <c r="E110" s="220" t="n"/>
      <c r="F110" s="220" t="n"/>
      <c r="G110" s="220" t="n"/>
      <c r="H110" s="220" t="n"/>
      <c r="I110" s="220" t="n"/>
      <c r="J110" s="220" t="n"/>
      <c r="K110" s="220" t="n"/>
      <c r="L110" s="220" t="n"/>
      <c r="M110" s="220" t="n"/>
      <c r="N110" s="220" t="n"/>
      <c r="O110" s="220" t="n"/>
      <c r="P110" s="220" t="n"/>
      <c r="Q110" s="220" t="n"/>
      <c r="R110" s="220" t="n"/>
      <c r="S110" s="220" t="n"/>
      <c r="T110" s="220" t="n"/>
      <c r="U110" s="220" t="n"/>
      <c r="V110" s="220" t="n"/>
      <c r="W110" s="220" t="n"/>
      <c r="X110" s="220" t="n"/>
      <c r="Y110" s="220" t="n"/>
      <c r="Z110" s="220" t="n"/>
      <c r="AA110" s="220" t="n"/>
      <c r="AB110" s="220" t="n"/>
      <c r="AC110" s="220" t="n"/>
      <c r="AD110" s="220" t="n"/>
      <c r="AE110" s="220" t="n"/>
      <c r="AF110" s="220" t="n"/>
      <c r="AG110" s="220" t="n"/>
      <c r="AH110" s="220" t="n"/>
    </row>
    <row r="111" ht="15" customHeight="1">
      <c r="B111" s="220" t="n"/>
      <c r="C111" s="220" t="n"/>
      <c r="D111" s="220" t="n"/>
      <c r="E111" s="220" t="n"/>
      <c r="F111" s="220" t="n"/>
      <c r="G111" s="220" t="n"/>
      <c r="H111" s="220" t="n"/>
      <c r="I111" s="220" t="n"/>
      <c r="J111" s="220" t="n"/>
      <c r="K111" s="220" t="n"/>
      <c r="L111" s="220" t="n"/>
      <c r="M111" s="220" t="n"/>
      <c r="N111" s="220" t="n"/>
      <c r="O111" s="220" t="n"/>
      <c r="P111" s="220" t="n"/>
      <c r="Q111" s="220" t="n"/>
      <c r="R111" s="220" t="n"/>
      <c r="S111" s="220" t="n"/>
      <c r="T111" s="220" t="n"/>
      <c r="U111" s="220" t="n"/>
      <c r="V111" s="220" t="n"/>
      <c r="W111" s="220" t="n"/>
      <c r="X111" s="220" t="n"/>
      <c r="Y111" s="220" t="n"/>
      <c r="Z111" s="220" t="n"/>
      <c r="AA111" s="220" t="n"/>
      <c r="AB111" s="220" t="n"/>
      <c r="AC111" s="220" t="n"/>
      <c r="AD111" s="220" t="n"/>
      <c r="AE111" s="220" t="n"/>
      <c r="AF111" s="220" t="n"/>
      <c r="AG111" s="220" t="n"/>
      <c r="AH111" s="220" t="n"/>
    </row>
    <row r="112" ht="15" customHeight="1">
      <c r="B112" s="220" t="n"/>
      <c r="C112" s="220" t="n"/>
      <c r="D112" s="220" t="n"/>
      <c r="E112" s="220" t="n"/>
      <c r="F112" s="220" t="n"/>
      <c r="G112" s="220" t="n"/>
      <c r="H112" s="220" t="n"/>
      <c r="I112" s="220" t="n"/>
      <c r="J112" s="220" t="n"/>
      <c r="K112" s="220" t="n"/>
      <c r="L112" s="220" t="n"/>
      <c r="M112" s="220" t="n"/>
      <c r="N112" s="220" t="n"/>
      <c r="O112" s="220" t="n"/>
      <c r="P112" s="220" t="n"/>
      <c r="Q112" s="220" t="n"/>
      <c r="R112" s="220" t="n"/>
      <c r="S112" s="220" t="n"/>
      <c r="T112" s="220" t="n"/>
      <c r="U112" s="220" t="n"/>
      <c r="V112" s="220" t="n"/>
      <c r="W112" s="220" t="n"/>
      <c r="X112" s="220" t="n"/>
      <c r="Y112" s="220" t="n"/>
      <c r="Z112" s="220" t="n"/>
      <c r="AA112" s="220" t="n"/>
      <c r="AB112" s="220" t="n"/>
      <c r="AC112" s="220" t="n"/>
      <c r="AD112" s="220" t="n"/>
      <c r="AE112" s="220" t="n"/>
      <c r="AF112" s="220" t="n"/>
      <c r="AG112" s="220" t="n"/>
      <c r="AH112" s="220" t="n"/>
    </row>
    <row r="113" ht="15" customHeight="1">
      <c r="B113" s="220" t="n"/>
      <c r="C113" s="220" t="n"/>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row>
  </sheetData>
  <mergeCells count="38">
    <mergeCell ref="Q22:U23"/>
    <mergeCell ref="Q16:R16"/>
    <mergeCell ref="Q47:U47"/>
    <mergeCell ref="Q25:R25"/>
    <mergeCell ref="Q9:R10"/>
    <mergeCell ref="Q21:U21"/>
    <mergeCell ref="Q24:R24"/>
    <mergeCell ref="Q18:R18"/>
    <mergeCell ref="S40:U40"/>
    <mergeCell ref="S49:U49"/>
    <mergeCell ref="S34:U34"/>
    <mergeCell ref="Q39:U39"/>
    <mergeCell ref="S53:U53"/>
    <mergeCell ref="S33:U33"/>
    <mergeCell ref="S24:U24"/>
    <mergeCell ref="Q7:R8"/>
    <mergeCell ref="Q29:U29"/>
    <mergeCell ref="Q38:U38"/>
    <mergeCell ref="Q26:R26"/>
    <mergeCell ref="S35:U35"/>
    <mergeCell ref="Q13:U14"/>
    <mergeCell ref="S41:U41"/>
    <mergeCell ref="S32:U32"/>
    <mergeCell ref="S51:U51"/>
    <mergeCell ref="S50:U50"/>
    <mergeCell ref="S26:U26"/>
    <mergeCell ref="S44:U44"/>
    <mergeCell ref="S31:U31"/>
    <mergeCell ref="B2:B4"/>
    <mergeCell ref="S25:U25"/>
    <mergeCell ref="Q30:U30"/>
    <mergeCell ref="S43:U43"/>
    <mergeCell ref="C2:D4"/>
    <mergeCell ref="Q17:R17"/>
    <mergeCell ref="Q48:U48"/>
    <mergeCell ref="S42:U42"/>
    <mergeCell ref="S52:U52"/>
    <mergeCell ref="Q6:W6"/>
  </mergeCells>
  <conditionalFormatting sqref="C14:O14">
    <cfRule type="expression" priority="1" dxfId="131">
      <formula>=LEN(TRIM(C14))=0</formula>
    </cfRule>
    <cfRule type="cellIs" priority="2" operator="greaterThan" dxfId="130">
      <formula>5.0</formula>
    </cfRule>
    <cfRule type="cellIs" priority="3" operator="greaterThanOrEqual" dxfId="129">
      <formula>4.5</formula>
    </cfRule>
    <cfRule type="cellIs" priority="4" operator="lessThan" dxfId="126">
      <formula>4.5</formula>
    </cfRule>
  </conditionalFormatting>
  <conditionalFormatting sqref="C15:O15">
    <cfRule type="expression" priority="5" dxfId="131">
      <formula>=LEN(TRIM(C15))=0</formula>
    </cfRule>
    <cfRule type="cellIs" priority="6" operator="greaterThan" dxfId="130">
      <formula>5.7</formula>
    </cfRule>
    <cfRule type="cellIs" priority="7" operator="greaterThanOrEqual" dxfId="129">
      <formula>5.4</formula>
    </cfRule>
    <cfRule type="cellIs" priority="8" operator="lessThan" dxfId="126">
      <formula>5.4</formula>
    </cfRule>
  </conditionalFormatting>
  <conditionalFormatting sqref="C16:O16">
    <cfRule type="expression" priority="9" dxfId="131">
      <formula>=LEN(TRIM(C16))=0</formula>
    </cfRule>
    <cfRule type="cellIs" priority="10" operator="greaterThan" dxfId="130">
      <formula>5.4</formula>
    </cfRule>
    <cfRule type="cellIs" priority="11" operator="greaterThanOrEqual" dxfId="129">
      <formula>5.0</formula>
    </cfRule>
    <cfRule type="cellIs" priority="12" operator="lessThan" dxfId="126">
      <formula>5.0</formula>
    </cfRule>
  </conditionalFormatting>
  <conditionalFormatting sqref="C17:O17">
    <cfRule type="expression" priority="13" dxfId="131">
      <formula>=LEN(TRIM(C17))=0</formula>
    </cfRule>
    <cfRule type="cellIs" priority="14" operator="greaterThan" dxfId="130">
      <formula>5.4</formula>
    </cfRule>
    <cfRule type="cellIs" priority="15" operator="greaterThanOrEqual" dxfId="129">
      <formula>5.0</formula>
    </cfRule>
    <cfRule type="cellIs" priority="16" operator="lessThan" dxfId="126">
      <formula>5.0</formula>
    </cfRule>
  </conditionalFormatting>
  <conditionalFormatting sqref="C18:O18">
    <cfRule type="expression" priority="17" dxfId="131">
      <formula>=LEN(TRIM(C18))=0</formula>
    </cfRule>
    <cfRule type="cellIs" priority="18" operator="greaterThan" dxfId="130">
      <formula>5.4</formula>
    </cfRule>
    <cfRule type="cellIs" priority="19" operator="greaterThanOrEqual" dxfId="129">
      <formula>5.0</formula>
    </cfRule>
    <cfRule type="cellIs" priority="20" operator="lessThan" dxfId="126">
      <formula>5.0</formula>
    </cfRule>
  </conditionalFormatting>
  <conditionalFormatting sqref="C19:O19">
    <cfRule type="expression" priority="21" dxfId="131">
      <formula>=LEN(TRIM(C19))=0</formula>
    </cfRule>
    <cfRule type="cellIs" priority="22" operator="greaterThan" dxfId="130">
      <formula>5.4</formula>
    </cfRule>
    <cfRule type="cellIs" priority="23" operator="greaterThanOrEqual" dxfId="129">
      <formula>5.0</formula>
    </cfRule>
    <cfRule type="cellIs" priority="24" operator="lessThan" dxfId="126">
      <formula>5.0</formula>
    </cfRule>
  </conditionalFormatting>
  <conditionalFormatting sqref="C20:O20">
    <cfRule type="expression" priority="25" dxfId="131">
      <formula>=LEN(TRIM(C20))=0</formula>
    </cfRule>
    <cfRule type="cellIs" priority="26" operator="greaterThan" dxfId="130">
      <formula>5.4</formula>
    </cfRule>
    <cfRule type="cellIs" priority="27" operator="greaterThanOrEqual" dxfId="129">
      <formula>5.0</formula>
    </cfRule>
    <cfRule type="cellIs" priority="28" operator="lessThan" dxfId="126">
      <formula>5.0</formula>
    </cfRule>
  </conditionalFormatting>
  <conditionalFormatting sqref="C21:O21">
    <cfRule type="expression" priority="29" dxfId="131">
      <formula>=LEN(TRIM(C21))=0</formula>
    </cfRule>
    <cfRule type="cellIs" priority="30" operator="greaterThan" dxfId="130">
      <formula>5.4</formula>
    </cfRule>
    <cfRule type="cellIs" priority="31" operator="greaterThanOrEqual" dxfId="129">
      <formula>5.0</formula>
    </cfRule>
    <cfRule type="cellIs" priority="32" operator="lessThan" dxfId="126">
      <formula>5.0</formula>
    </cfRule>
  </conditionalFormatting>
  <conditionalFormatting sqref="C22:O22">
    <cfRule type="expression" priority="33" dxfId="131">
      <formula>=LEN(TRIM(C22))=0</formula>
    </cfRule>
    <cfRule type="cellIs" priority="34" operator="greaterThan" dxfId="130">
      <formula>5.4</formula>
    </cfRule>
    <cfRule type="cellIs" priority="35" operator="greaterThanOrEqual" dxfId="129">
      <formula>5.0</formula>
    </cfRule>
    <cfRule type="cellIs" priority="36" operator="lessThan" dxfId="126">
      <formula>5.0</formula>
    </cfRule>
  </conditionalFormatting>
  <conditionalFormatting sqref="C23:O23">
    <cfRule type="expression" priority="37" dxfId="131">
      <formula>=LEN(TRIM(C23))=0</formula>
    </cfRule>
    <cfRule type="cellIs" priority="38" operator="greaterThan" dxfId="130">
      <formula>5.0</formula>
    </cfRule>
    <cfRule type="cellIs" priority="39" operator="greaterThanOrEqual" dxfId="129">
      <formula>4.5</formula>
    </cfRule>
    <cfRule type="cellIs" priority="40" operator="lessThan" dxfId="126">
      <formula>4.5</formula>
    </cfRule>
  </conditionalFormatting>
  <conditionalFormatting sqref="C24:O24">
    <cfRule type="expression" priority="41" dxfId="131">
      <formula>=LEN(TRIM(C24))=0</formula>
    </cfRule>
    <cfRule type="cellIs" priority="42" operator="greaterThan" dxfId="130">
      <formula>5.0</formula>
    </cfRule>
    <cfRule type="cellIs" priority="43" operator="greaterThanOrEqual" dxfId="129">
      <formula>4.5</formula>
    </cfRule>
    <cfRule type="cellIs" priority="44" operator="lessThan" dxfId="126">
      <formula>4.5</formula>
    </cfRule>
  </conditionalFormatting>
  <conditionalFormatting sqref="C27:O27">
    <cfRule type="expression" priority="45" dxfId="131">
      <formula>=LEN(TRIM(C27))=0</formula>
    </cfRule>
    <cfRule type="cellIs" priority="46" operator="lessThan" dxfId="130">
      <formula>0.025</formula>
    </cfRule>
    <cfRule type="cellIs" priority="47" operator="lessThan" dxfId="129">
      <formula>0.04</formula>
    </cfRule>
    <cfRule type="cellIs" priority="48" operator="greaterThanOrEqual" dxfId="126">
      <formula>0.04</formula>
    </cfRule>
  </conditionalFormatting>
  <conditionalFormatting sqref="C28:O28">
    <cfRule type="expression" priority="49" dxfId="131">
      <formula>=LEN(TRIM(C28))=0</formula>
    </cfRule>
    <cfRule type="cellIs" priority="50" operator="lessThan" dxfId="130">
      <formula>0.025</formula>
    </cfRule>
    <cfRule type="cellIs" priority="51" operator="lessThan" dxfId="129">
      <formula>0.04</formula>
    </cfRule>
    <cfRule type="cellIs" priority="52" operator="greaterThanOrEqual" dxfId="126">
      <formula>0.04</formula>
    </cfRule>
  </conditionalFormatting>
  <conditionalFormatting sqref="C29:O29">
    <cfRule type="expression" priority="53" dxfId="131">
      <formula>=LEN(TRIM(C29))=0</formula>
    </cfRule>
    <cfRule type="cellIs" priority="54" operator="lessThan" dxfId="130">
      <formula>0.025</formula>
    </cfRule>
    <cfRule type="cellIs" priority="55" operator="lessThan" dxfId="129">
      <formula>0.04</formula>
    </cfRule>
    <cfRule type="cellIs" priority="56" operator="greaterThanOrEqual" dxfId="126">
      <formula>0.04</formula>
    </cfRule>
  </conditionalFormatting>
  <conditionalFormatting sqref="C30:O30">
    <cfRule type="expression" priority="57" dxfId="131">
      <formula>=LEN(TRIM(C30))=0</formula>
    </cfRule>
    <cfRule type="cellIs" priority="58" operator="lessThan" dxfId="130">
      <formula>0.025</formula>
    </cfRule>
    <cfRule type="cellIs" priority="59" operator="lessThan" dxfId="129">
      <formula>0.04</formula>
    </cfRule>
    <cfRule type="cellIs" priority="60" operator="greaterThanOrEqual" dxfId="126">
      <formula>0.04</formula>
    </cfRule>
  </conditionalFormatting>
  <conditionalFormatting sqref="C31:O31">
    <cfRule type="expression" priority="61" dxfId="131">
      <formula>=LEN(TRIM(C31))=0</formula>
    </cfRule>
    <cfRule type="cellIs" priority="62" operator="lessThan" dxfId="130">
      <formula>0.025</formula>
    </cfRule>
    <cfRule type="cellIs" priority="63" operator="lessThan" dxfId="129">
      <formula>0.04</formula>
    </cfRule>
    <cfRule type="cellIs" priority="64" operator="greaterThanOrEqual" dxfId="126">
      <formula>0.04</formula>
    </cfRule>
  </conditionalFormatting>
  <conditionalFormatting sqref="C32:O32">
    <cfRule type="expression" priority="65" dxfId="131">
      <formula>=LEN(TRIM(C32))=0</formula>
    </cfRule>
    <cfRule type="cellIs" priority="66" operator="lessThan" dxfId="130">
      <formula>0.025</formula>
    </cfRule>
    <cfRule type="cellIs" priority="67" operator="lessThan" dxfId="129">
      <formula>0.04</formula>
    </cfRule>
    <cfRule type="cellIs" priority="68" operator="greaterThanOrEqual" dxfId="126">
      <formula>0.04</formula>
    </cfRule>
  </conditionalFormatting>
  <conditionalFormatting sqref="C33:O33">
    <cfRule type="expression" priority="69" dxfId="131">
      <formula>=LEN(TRIM(C33))=0</formula>
    </cfRule>
    <cfRule type="cellIs" priority="70" operator="lessThan" dxfId="130">
      <formula>0.025</formula>
    </cfRule>
    <cfRule type="cellIs" priority="71" operator="lessThan" dxfId="129">
      <formula>0.04</formula>
    </cfRule>
    <cfRule type="cellIs" priority="72" operator="greaterThanOrEqual" dxfId="126">
      <formula>0.04</formula>
    </cfRule>
  </conditionalFormatting>
  <conditionalFormatting sqref="C34:O34">
    <cfRule type="expression" priority="73" dxfId="131">
      <formula>=LEN(TRIM(C34))=0</formula>
    </cfRule>
    <cfRule type="cellIs" priority="74" operator="lessThan" dxfId="130">
      <formula>0.025</formula>
    </cfRule>
    <cfRule type="cellIs" priority="75" operator="lessThan" dxfId="129">
      <formula>0.04</formula>
    </cfRule>
    <cfRule type="cellIs" priority="76" operator="greaterThanOrEqual" dxfId="126">
      <formula>0.04</formula>
    </cfRule>
  </conditionalFormatting>
  <conditionalFormatting sqref="C35:O35">
    <cfRule type="expression" priority="77" dxfId="131">
      <formula>=LEN(TRIM(C35))=0</formula>
    </cfRule>
    <cfRule type="cellIs" priority="78" operator="lessThan" dxfId="130">
      <formula>0.025</formula>
    </cfRule>
    <cfRule type="cellIs" priority="79" operator="lessThan" dxfId="129">
      <formula>0.04</formula>
    </cfRule>
    <cfRule type="cellIs" priority="80" operator="greaterThanOrEqual" dxfId="126">
      <formula>0.04</formula>
    </cfRule>
  </conditionalFormatting>
  <conditionalFormatting sqref="C36:O36">
    <cfRule type="expression" priority="81" dxfId="131">
      <formula>=LEN(TRIM(C36))=0</formula>
    </cfRule>
    <cfRule type="cellIs" priority="82" operator="lessThan" dxfId="130">
      <formula>0.025</formula>
    </cfRule>
    <cfRule type="cellIs" priority="83" operator="lessThan" dxfId="129">
      <formula>0.04</formula>
    </cfRule>
    <cfRule type="cellIs" priority="84" operator="greaterThanOrEqual" dxfId="126">
      <formula>0.04</formula>
    </cfRule>
  </conditionalFormatting>
  <conditionalFormatting sqref="C37:O37">
    <cfRule type="expression" priority="85" dxfId="131">
      <formula>=LEN(TRIM(C37))=0</formula>
    </cfRule>
    <cfRule type="cellIs" priority="86" operator="lessThan" dxfId="130">
      <formula>0.025</formula>
    </cfRule>
    <cfRule type="cellIs" priority="87" operator="lessThan" dxfId="129">
      <formula>0.04</formula>
    </cfRule>
    <cfRule type="cellIs" priority="88" operator="greaterThanOrEqual" dxfId="126">
      <formula>0.04</formula>
    </cfRule>
  </conditionalFormatting>
  <conditionalFormatting sqref="C40:O40">
    <cfRule type="expression" priority="89" dxfId="131">
      <formula>=LEN(TRIM(C40))=0</formula>
    </cfRule>
    <cfRule type="cellIs" priority="90" operator="greaterThanOrEqual" dxfId="130">
      <formula>4.5</formula>
    </cfRule>
    <cfRule type="cellIs" priority="91" operator="greaterThanOrEqual" dxfId="129">
      <formula>3.5</formula>
    </cfRule>
    <cfRule type="cellIs" priority="92" operator="greaterThanOrEqual" dxfId="128">
      <formula>2.5</formula>
    </cfRule>
    <cfRule type="cellIs" priority="93" operator="greaterThanOrEqual" dxfId="127">
      <formula>1.5</formula>
    </cfRule>
    <cfRule type="cellIs" priority="94" operator="lessThan" dxfId="126">
      <formula>1.5</formula>
    </cfRule>
  </conditionalFormatting>
  <conditionalFormatting sqref="C41:O41">
    <cfRule type="expression" priority="95" dxfId="131">
      <formula>=LEN(TRIM(C41))=0</formula>
    </cfRule>
    <cfRule type="cellIs" priority="96" operator="greaterThanOrEqual" dxfId="130">
      <formula>4.5</formula>
    </cfRule>
    <cfRule type="cellIs" priority="97" operator="greaterThanOrEqual" dxfId="129">
      <formula>3.5</formula>
    </cfRule>
    <cfRule type="cellIs" priority="98" operator="greaterThanOrEqual" dxfId="128">
      <formula>2.5</formula>
    </cfRule>
    <cfRule type="cellIs" priority="99" operator="greaterThanOrEqual" dxfId="127">
      <formula>1.5</formula>
    </cfRule>
    <cfRule type="cellIs" priority="100" operator="lessThan" dxfId="126">
      <formula>1.5</formula>
    </cfRule>
  </conditionalFormatting>
  <conditionalFormatting sqref="C42:O42">
    <cfRule type="expression" priority="101" dxfId="131">
      <formula>=LEN(TRIM(C42))=0</formula>
    </cfRule>
    <cfRule type="cellIs" priority="102" operator="greaterThanOrEqual" dxfId="130">
      <formula>4.5</formula>
    </cfRule>
    <cfRule type="cellIs" priority="103" operator="greaterThanOrEqual" dxfId="129">
      <formula>3.5</formula>
    </cfRule>
    <cfRule type="cellIs" priority="104" operator="greaterThanOrEqual" dxfId="128">
      <formula>2.5</formula>
    </cfRule>
    <cfRule type="cellIs" priority="105" operator="greaterThanOrEqual" dxfId="127">
      <formula>1.5</formula>
    </cfRule>
    <cfRule type="cellIs" priority="106" operator="lessThan" dxfId="126">
      <formula>1.5</formula>
    </cfRule>
  </conditionalFormatting>
  <conditionalFormatting sqref="C43:O43">
    <cfRule type="expression" priority="107" dxfId="131">
      <formula>=LEN(TRIM(C43))=0</formula>
    </cfRule>
    <cfRule type="cellIs" priority="108" operator="greaterThanOrEqual" dxfId="130">
      <formula>4.5</formula>
    </cfRule>
    <cfRule type="cellIs" priority="109" operator="greaterThanOrEqual" dxfId="129">
      <formula>3.5</formula>
    </cfRule>
    <cfRule type="cellIs" priority="110" operator="greaterThanOrEqual" dxfId="128">
      <formula>2.5</formula>
    </cfRule>
    <cfRule type="cellIs" priority="111" operator="greaterThanOrEqual" dxfId="127">
      <formula>1.5</formula>
    </cfRule>
    <cfRule type="cellIs" priority="112" operator="lessThan" dxfId="126">
      <formula>1.5</formula>
    </cfRule>
  </conditionalFormatting>
  <conditionalFormatting sqref="C44:O44">
    <cfRule type="expression" priority="113" dxfId="131">
      <formula>=LEN(TRIM(C44))=0</formula>
    </cfRule>
    <cfRule type="cellIs" priority="114" operator="greaterThanOrEqual" dxfId="130">
      <formula>4.5</formula>
    </cfRule>
    <cfRule type="cellIs" priority="115" operator="greaterThanOrEqual" dxfId="129">
      <formula>3.5</formula>
    </cfRule>
    <cfRule type="cellIs" priority="116" operator="greaterThanOrEqual" dxfId="128">
      <formula>2.5</formula>
    </cfRule>
    <cfRule type="cellIs" priority="117" operator="greaterThanOrEqual" dxfId="127">
      <formula>1.5</formula>
    </cfRule>
    <cfRule type="cellIs" priority="118" operator="lessThan" dxfId="126">
      <formula>1.5</formula>
    </cfRule>
  </conditionalFormatting>
  <conditionalFormatting sqref="C45:O45">
    <cfRule type="expression" priority="119" dxfId="131">
      <formula>=LEN(TRIM(C45))=0</formula>
    </cfRule>
    <cfRule type="cellIs" priority="120" operator="greaterThanOrEqual" dxfId="130">
      <formula>4.5</formula>
    </cfRule>
    <cfRule type="cellIs" priority="121" operator="greaterThanOrEqual" dxfId="129">
      <formula>3.5</formula>
    </cfRule>
    <cfRule type="cellIs" priority="122" operator="greaterThanOrEqual" dxfId="128">
      <formula>2.5</formula>
    </cfRule>
    <cfRule type="cellIs" priority="123" operator="greaterThanOrEqual" dxfId="127">
      <formula>1.5</formula>
    </cfRule>
    <cfRule type="cellIs" priority="124" operator="lessThan" dxfId="126">
      <formula>1.5</formula>
    </cfRule>
  </conditionalFormatting>
  <conditionalFormatting sqref="C46:O46">
    <cfRule type="expression" priority="125" dxfId="131">
      <formula>=LEN(TRIM(C46))=0</formula>
    </cfRule>
    <cfRule type="cellIs" priority="126" operator="greaterThanOrEqual" dxfId="130">
      <formula>4.5</formula>
    </cfRule>
    <cfRule type="cellIs" priority="127" operator="greaterThanOrEqual" dxfId="129">
      <formula>3.5</formula>
    </cfRule>
    <cfRule type="cellIs" priority="128" operator="greaterThanOrEqual" dxfId="128">
      <formula>2.5</formula>
    </cfRule>
    <cfRule type="cellIs" priority="129" operator="greaterThanOrEqual" dxfId="127">
      <formula>1.5</formula>
    </cfRule>
    <cfRule type="cellIs" priority="130" operator="lessThan" dxfId="126">
      <formula>1.5</formula>
    </cfRule>
  </conditionalFormatting>
  <conditionalFormatting sqref="C47:O47">
    <cfRule type="expression" priority="131" dxfId="131">
      <formula>=LEN(TRIM(C47))=0</formula>
    </cfRule>
    <cfRule type="cellIs" priority="132" operator="greaterThanOrEqual" dxfId="130">
      <formula>4.5</formula>
    </cfRule>
    <cfRule type="cellIs" priority="133" operator="greaterThanOrEqual" dxfId="129">
      <formula>3.5</formula>
    </cfRule>
    <cfRule type="cellIs" priority="134" operator="greaterThanOrEqual" dxfId="128">
      <formula>2.5</formula>
    </cfRule>
    <cfRule type="cellIs" priority="135" operator="greaterThanOrEqual" dxfId="127">
      <formula>1.5</formula>
    </cfRule>
    <cfRule type="cellIs" priority="136" operator="lessThan" dxfId="126">
      <formula>1.5</formula>
    </cfRule>
  </conditionalFormatting>
  <conditionalFormatting sqref="C48:O48">
    <cfRule type="expression" priority="137" dxfId="131">
      <formula>=LEN(TRIM(C48))=0</formula>
    </cfRule>
    <cfRule type="cellIs" priority="138" operator="greaterThanOrEqual" dxfId="130">
      <formula>4.5</formula>
    </cfRule>
    <cfRule type="cellIs" priority="139" operator="greaterThanOrEqual" dxfId="129">
      <formula>3.5</formula>
    </cfRule>
    <cfRule type="cellIs" priority="140" operator="greaterThanOrEqual" dxfId="128">
      <formula>2.5</formula>
    </cfRule>
    <cfRule type="cellIs" priority="141" operator="greaterThanOrEqual" dxfId="127">
      <formula>1.5</formula>
    </cfRule>
    <cfRule type="cellIs" priority="142" operator="lessThan" dxfId="126">
      <formula>1.5</formula>
    </cfRule>
  </conditionalFormatting>
  <conditionalFormatting sqref="C49:O49">
    <cfRule type="expression" priority="143" dxfId="131">
      <formula>=LEN(TRIM(C49))=0</formula>
    </cfRule>
    <cfRule type="cellIs" priority="144" operator="greaterThanOrEqual" dxfId="130">
      <formula>4.5</formula>
    </cfRule>
    <cfRule type="cellIs" priority="145" operator="greaterThanOrEqual" dxfId="129">
      <formula>3.5</formula>
    </cfRule>
    <cfRule type="cellIs" priority="146" operator="greaterThanOrEqual" dxfId="128">
      <formula>2.5</formula>
    </cfRule>
    <cfRule type="cellIs" priority="147" operator="greaterThanOrEqual" dxfId="127">
      <formula>1.5</formula>
    </cfRule>
    <cfRule type="cellIs" priority="148" operator="lessThan" dxfId="126">
      <formula>1.5</formula>
    </cfRule>
  </conditionalFormatting>
  <conditionalFormatting sqref="C50:O50">
    <cfRule type="expression" priority="149" dxfId="131">
      <formula>=LEN(TRIM(C50))=0</formula>
    </cfRule>
    <cfRule type="cellIs" priority="150" operator="greaterThanOrEqual" dxfId="130">
      <formula>4.5</formula>
    </cfRule>
    <cfRule type="cellIs" priority="151" operator="greaterThanOrEqual" dxfId="129">
      <formula>3.5</formula>
    </cfRule>
    <cfRule type="cellIs" priority="152" operator="greaterThanOrEqual" dxfId="128">
      <formula>2.5</formula>
    </cfRule>
    <cfRule type="cellIs" priority="153" operator="greaterThanOrEqual" dxfId="127">
      <formula>1.5</formula>
    </cfRule>
    <cfRule type="cellIs" priority="154" operator="lessThan" dxfId="126">
      <formula>1.5</formula>
    </cfRule>
  </conditionalFormatting>
  <conditionalFormatting sqref="C53:O53">
    <cfRule type="expression" priority="155" dxfId="131">
      <formula>=LEN(TRIM(C53))=0</formula>
    </cfRule>
    <cfRule type="cellIs" priority="156" operator="greaterThanOrEqual" dxfId="130">
      <formula>4.5</formula>
    </cfRule>
    <cfRule type="cellIs" priority="157" operator="greaterThanOrEqual" dxfId="129">
      <formula>3.5</formula>
    </cfRule>
    <cfRule type="cellIs" priority="158" operator="greaterThanOrEqual" dxfId="128">
      <formula>2.5</formula>
    </cfRule>
    <cfRule type="cellIs" priority="159" operator="greaterThanOrEqual" dxfId="127">
      <formula>1.5</formula>
    </cfRule>
    <cfRule type="cellIs" priority="160" operator="lessThan" dxfId="126">
      <formula>1.5</formula>
    </cfRule>
  </conditionalFormatting>
  <conditionalFormatting sqref="C54:O54">
    <cfRule type="expression" priority="161" dxfId="131">
      <formula>=LEN(TRIM(C54))=0</formula>
    </cfRule>
    <cfRule type="cellIs" priority="162" operator="greaterThanOrEqual" dxfId="130">
      <formula>4.5</formula>
    </cfRule>
    <cfRule type="cellIs" priority="163" operator="greaterThanOrEqual" dxfId="129">
      <formula>3.5</formula>
    </cfRule>
    <cfRule type="cellIs" priority="164" operator="greaterThanOrEqual" dxfId="128">
      <formula>2.5</formula>
    </cfRule>
    <cfRule type="cellIs" priority="165" operator="greaterThanOrEqual" dxfId="127">
      <formula>1.5</formula>
    </cfRule>
    <cfRule type="cellIs" priority="166" operator="lessThan" dxfId="126">
      <formula>1.5</formula>
    </cfRule>
  </conditionalFormatting>
  <conditionalFormatting sqref="C55:O55">
    <cfRule type="expression" priority="167" dxfId="131">
      <formula>=LEN(TRIM(C55))=0</formula>
    </cfRule>
    <cfRule type="cellIs" priority="168" operator="greaterThanOrEqual" dxfId="130">
      <formula>4.5</formula>
    </cfRule>
    <cfRule type="cellIs" priority="169" operator="greaterThanOrEqual" dxfId="129">
      <formula>3.5</formula>
    </cfRule>
    <cfRule type="cellIs" priority="170" operator="greaterThanOrEqual" dxfId="128">
      <formula>2.5</formula>
    </cfRule>
    <cfRule type="cellIs" priority="171" operator="greaterThanOrEqual" dxfId="127">
      <formula>1.5</formula>
    </cfRule>
    <cfRule type="cellIs" priority="172" operator="lessThan" dxfId="126">
      <formula>1.5</formula>
    </cfRule>
  </conditionalFormatting>
  <conditionalFormatting sqref="C56:O56">
    <cfRule type="expression" priority="173" dxfId="131">
      <formula>=LEN(TRIM(C56))=0</formula>
    </cfRule>
    <cfRule type="cellIs" priority="174" operator="greaterThanOrEqual" dxfId="130">
      <formula>4.5</formula>
    </cfRule>
    <cfRule type="cellIs" priority="175" operator="greaterThanOrEqual" dxfId="129">
      <formula>3.5</formula>
    </cfRule>
    <cfRule type="cellIs" priority="176" operator="greaterThanOrEqual" dxfId="128">
      <formula>2.5</formula>
    </cfRule>
    <cfRule type="cellIs" priority="177" operator="greaterThanOrEqual" dxfId="127">
      <formula>1.5</formula>
    </cfRule>
    <cfRule type="cellIs" priority="178" operator="lessThan" dxfId="126">
      <formula>1.5</formula>
    </cfRule>
  </conditionalFormatting>
  <conditionalFormatting sqref="C57:O57">
    <cfRule type="expression" priority="179" dxfId="131">
      <formula>=LEN(TRIM(C57))=0</formula>
    </cfRule>
    <cfRule type="cellIs" priority="180" operator="greaterThanOrEqual" dxfId="130">
      <formula>4.5</formula>
    </cfRule>
    <cfRule type="cellIs" priority="181" operator="greaterThanOrEqual" dxfId="129">
      <formula>3.5</formula>
    </cfRule>
    <cfRule type="cellIs" priority="182" operator="greaterThanOrEqual" dxfId="128">
      <formula>2.5</formula>
    </cfRule>
    <cfRule type="cellIs" priority="183" operator="greaterThanOrEqual" dxfId="127">
      <formula>1.5</formula>
    </cfRule>
    <cfRule type="cellIs" priority="184" operator="lessThan" dxfId="126">
      <formula>1.5</formula>
    </cfRule>
  </conditionalFormatting>
  <conditionalFormatting sqref="C58:O58">
    <cfRule type="expression" priority="185" dxfId="131">
      <formula>=LEN(TRIM(C58))=0</formula>
    </cfRule>
    <cfRule type="cellIs" priority="186" operator="greaterThanOrEqual" dxfId="130">
      <formula>4.5</formula>
    </cfRule>
    <cfRule type="cellIs" priority="187" operator="greaterThanOrEqual" dxfId="129">
      <formula>3.5</formula>
    </cfRule>
    <cfRule type="cellIs" priority="188" operator="greaterThanOrEqual" dxfId="128">
      <formula>2.5</formula>
    </cfRule>
    <cfRule type="cellIs" priority="189" operator="greaterThanOrEqual" dxfId="127">
      <formula>1.5</formula>
    </cfRule>
    <cfRule type="cellIs" priority="190" operator="lessThan" dxfId="126">
      <formula>1.5</formula>
    </cfRule>
  </conditionalFormatting>
  <conditionalFormatting sqref="C59:O59">
    <cfRule type="expression" priority="191" dxfId="131">
      <formula>=LEN(TRIM(C59))=0</formula>
    </cfRule>
    <cfRule type="cellIs" priority="192" operator="greaterThanOrEqual" dxfId="130">
      <formula>4.5</formula>
    </cfRule>
    <cfRule type="cellIs" priority="193" operator="greaterThanOrEqual" dxfId="129">
      <formula>3.5</formula>
    </cfRule>
    <cfRule type="cellIs" priority="194" operator="greaterThanOrEqual" dxfId="128">
      <formula>2.5</formula>
    </cfRule>
    <cfRule type="cellIs" priority="195" operator="greaterThanOrEqual" dxfId="127">
      <formula>1.5</formula>
    </cfRule>
    <cfRule type="cellIs" priority="196" operator="lessThan" dxfId="126">
      <formula>1.5</formula>
    </cfRule>
  </conditionalFormatting>
  <conditionalFormatting sqref="C60:O60">
    <cfRule type="expression" priority="197" dxfId="131">
      <formula>=LEN(TRIM(C60))=0</formula>
    </cfRule>
    <cfRule type="cellIs" priority="198" operator="greaterThanOrEqual" dxfId="130">
      <formula>4.5</formula>
    </cfRule>
    <cfRule type="cellIs" priority="199" operator="greaterThanOrEqual" dxfId="129">
      <formula>3.5</formula>
    </cfRule>
    <cfRule type="cellIs" priority="200" operator="greaterThanOrEqual" dxfId="128">
      <formula>2.5</formula>
    </cfRule>
    <cfRule type="cellIs" priority="201" operator="greaterThanOrEqual" dxfId="127">
      <formula>1.5</formula>
    </cfRule>
    <cfRule type="cellIs" priority="202" operator="lessThan" dxfId="126">
      <formula>1.5</formula>
    </cfRule>
  </conditionalFormatting>
  <conditionalFormatting sqref="C61:O61">
    <cfRule type="expression" priority="203" dxfId="131">
      <formula>=LEN(TRIM(C61))=0</formula>
    </cfRule>
    <cfRule type="cellIs" priority="204" operator="greaterThanOrEqual" dxfId="130">
      <formula>4.5</formula>
    </cfRule>
    <cfRule type="cellIs" priority="205" operator="greaterThanOrEqual" dxfId="129">
      <formula>3.5</formula>
    </cfRule>
    <cfRule type="cellIs" priority="206" operator="greaterThanOrEqual" dxfId="128">
      <formula>2.5</formula>
    </cfRule>
    <cfRule type="cellIs" priority="207" operator="greaterThanOrEqual" dxfId="127">
      <formula>1.5</formula>
    </cfRule>
    <cfRule type="cellIs" priority="208" operator="lessThan" dxfId="126">
      <formula>1.5</formula>
    </cfRule>
  </conditionalFormatting>
  <conditionalFormatting sqref="C62:O62">
    <cfRule type="expression" priority="209" dxfId="131">
      <formula>=LEN(TRIM(C62))=0</formula>
    </cfRule>
    <cfRule type="cellIs" priority="210" operator="greaterThanOrEqual" dxfId="130">
      <formula>4.5</formula>
    </cfRule>
    <cfRule type="cellIs" priority="211" operator="greaterThanOrEqual" dxfId="129">
      <formula>3.5</formula>
    </cfRule>
    <cfRule type="cellIs" priority="212" operator="greaterThanOrEqual" dxfId="128">
      <formula>2.5</formula>
    </cfRule>
    <cfRule type="cellIs" priority="213" operator="greaterThanOrEqual" dxfId="127">
      <formula>1.5</formula>
    </cfRule>
    <cfRule type="cellIs" priority="214" operator="lessThan" dxfId="126">
      <formula>1.5</formula>
    </cfRule>
  </conditionalFormatting>
  <conditionalFormatting sqref="C63:O63">
    <cfRule type="expression" priority="215" dxfId="131">
      <formula>=LEN(TRIM(C63))=0</formula>
    </cfRule>
    <cfRule type="cellIs" priority="216" operator="greaterThanOrEqual" dxfId="130">
      <formula>4.5</formula>
    </cfRule>
    <cfRule type="cellIs" priority="217" operator="greaterThanOrEqual" dxfId="129">
      <formula>3.5</formula>
    </cfRule>
    <cfRule type="cellIs" priority="218" operator="greaterThanOrEqual" dxfId="128">
      <formula>2.5</formula>
    </cfRule>
    <cfRule type="cellIs" priority="219" operator="greaterThanOrEqual" dxfId="127">
      <formula>1.5</formula>
    </cfRule>
    <cfRule type="cellIs" priority="220" operator="lessThan" dxfId="126">
      <formula>1.5</formula>
    </cfRule>
  </conditionalFormatting>
  <conditionalFormatting sqref="C66:O66">
    <cfRule type="expression" priority="221" dxfId="131">
      <formula>=LEN(TRIM(C66))=0</formula>
    </cfRule>
    <cfRule type="cellIs" priority="222" operator="greaterThanOrEqual" dxfId="130">
      <formula>4.5</formula>
    </cfRule>
    <cfRule type="cellIs" priority="223" operator="greaterThanOrEqual" dxfId="129">
      <formula>3.5</formula>
    </cfRule>
    <cfRule type="cellIs" priority="224" operator="greaterThanOrEqual" dxfId="128">
      <formula>2.5</formula>
    </cfRule>
    <cfRule type="cellIs" priority="225" operator="greaterThanOrEqual" dxfId="127">
      <formula>1.5</formula>
    </cfRule>
    <cfRule type="cellIs" priority="226" operator="lessThan" dxfId="126">
      <formula>1.5</formula>
    </cfRule>
  </conditionalFormatting>
  <conditionalFormatting sqref="C67:O67">
    <cfRule type="expression" priority="227" dxfId="131">
      <formula>=LEN(TRIM(C67))=0</formula>
    </cfRule>
    <cfRule type="cellIs" priority="228" operator="greaterThanOrEqual" dxfId="130">
      <formula>4.5</formula>
    </cfRule>
    <cfRule type="cellIs" priority="229" operator="greaterThanOrEqual" dxfId="129">
      <formula>3.5</formula>
    </cfRule>
    <cfRule type="cellIs" priority="230" operator="greaterThanOrEqual" dxfId="128">
      <formula>2.5</formula>
    </cfRule>
    <cfRule type="cellIs" priority="231" operator="greaterThanOrEqual" dxfId="127">
      <formula>1.5</formula>
    </cfRule>
    <cfRule type="cellIs" priority="232" operator="lessThan" dxfId="126">
      <formula>1.5</formula>
    </cfRule>
  </conditionalFormatting>
  <conditionalFormatting sqref="C68:O68">
    <cfRule type="expression" priority="233" dxfId="131">
      <formula>=LEN(TRIM(C68))=0</formula>
    </cfRule>
    <cfRule type="cellIs" priority="234" operator="greaterThanOrEqual" dxfId="130">
      <formula>4.5</formula>
    </cfRule>
    <cfRule type="cellIs" priority="235" operator="greaterThanOrEqual" dxfId="129">
      <formula>3.5</formula>
    </cfRule>
    <cfRule type="cellIs" priority="236" operator="greaterThanOrEqual" dxfId="128">
      <formula>2.5</formula>
    </cfRule>
    <cfRule type="cellIs" priority="237" operator="greaterThanOrEqual" dxfId="127">
      <formula>1.5</formula>
    </cfRule>
    <cfRule type="cellIs" priority="238" operator="lessThan" dxfId="126">
      <formula>1.5</formula>
    </cfRule>
  </conditionalFormatting>
  <conditionalFormatting sqref="C69:O69">
    <cfRule type="expression" priority="239" dxfId="131">
      <formula>=LEN(TRIM(C69))=0</formula>
    </cfRule>
    <cfRule type="cellIs" priority="240" operator="greaterThanOrEqual" dxfId="130">
      <formula>4.5</formula>
    </cfRule>
    <cfRule type="cellIs" priority="241" operator="greaterThanOrEqual" dxfId="129">
      <formula>3.5</formula>
    </cfRule>
    <cfRule type="cellIs" priority="242" operator="greaterThanOrEqual" dxfId="128">
      <formula>2.5</formula>
    </cfRule>
    <cfRule type="cellIs" priority="243" operator="greaterThanOrEqual" dxfId="127">
      <formula>1.5</formula>
    </cfRule>
    <cfRule type="cellIs" priority="244" operator="lessThan" dxfId="126">
      <formula>1.5</formula>
    </cfRule>
  </conditionalFormatting>
  <conditionalFormatting sqref="C70:O70">
    <cfRule type="expression" priority="245" dxfId="131">
      <formula>=LEN(TRIM(C70))=0</formula>
    </cfRule>
    <cfRule type="cellIs" priority="246" operator="greaterThanOrEqual" dxfId="130">
      <formula>4.5</formula>
    </cfRule>
    <cfRule type="cellIs" priority="247" operator="greaterThanOrEqual" dxfId="129">
      <formula>3.5</formula>
    </cfRule>
    <cfRule type="cellIs" priority="248" operator="greaterThanOrEqual" dxfId="128">
      <formula>2.5</formula>
    </cfRule>
    <cfRule type="cellIs" priority="249" operator="greaterThanOrEqual" dxfId="127">
      <formula>1.5</formula>
    </cfRule>
    <cfRule type="cellIs" priority="250" operator="lessThan" dxfId="126">
      <formula>1.5</formula>
    </cfRule>
  </conditionalFormatting>
  <conditionalFormatting sqref="C71:O71">
    <cfRule type="expression" priority="251" dxfId="131">
      <formula>=LEN(TRIM(C71))=0</formula>
    </cfRule>
    <cfRule type="cellIs" priority="252" operator="greaterThanOrEqual" dxfId="130">
      <formula>4.5</formula>
    </cfRule>
    <cfRule type="cellIs" priority="253" operator="greaterThanOrEqual" dxfId="129">
      <formula>3.5</formula>
    </cfRule>
    <cfRule type="cellIs" priority="254" operator="greaterThanOrEqual" dxfId="128">
      <formula>2.5</formula>
    </cfRule>
    <cfRule type="cellIs" priority="255" operator="greaterThanOrEqual" dxfId="127">
      <formula>1.5</formula>
    </cfRule>
    <cfRule type="cellIs" priority="256" operator="lessThan" dxfId="126">
      <formula>1.5</formula>
    </cfRule>
  </conditionalFormatting>
  <conditionalFormatting sqref="C72:O72">
    <cfRule type="expression" priority="257" dxfId="131">
      <formula>=LEN(TRIM(C72))=0</formula>
    </cfRule>
    <cfRule type="cellIs" priority="258" operator="greaterThanOrEqual" dxfId="130">
      <formula>4.5</formula>
    </cfRule>
    <cfRule type="cellIs" priority="259" operator="greaterThanOrEqual" dxfId="129">
      <formula>3.5</formula>
    </cfRule>
    <cfRule type="cellIs" priority="260" operator="greaterThanOrEqual" dxfId="128">
      <formula>2.5</formula>
    </cfRule>
    <cfRule type="cellIs" priority="261" operator="greaterThanOrEqual" dxfId="127">
      <formula>1.5</formula>
    </cfRule>
    <cfRule type="cellIs" priority="262" operator="lessThan" dxfId="126">
      <formula>1.5</formula>
    </cfRule>
  </conditionalFormatting>
  <conditionalFormatting sqref="C73:O73">
    <cfRule type="expression" priority="263" dxfId="131">
      <formula>=LEN(TRIM(C73))=0</formula>
    </cfRule>
    <cfRule type="cellIs" priority="264" operator="greaterThanOrEqual" dxfId="130">
      <formula>4.5</formula>
    </cfRule>
    <cfRule type="cellIs" priority="265" operator="greaterThanOrEqual" dxfId="129">
      <formula>3.5</formula>
    </cfRule>
    <cfRule type="cellIs" priority="266" operator="greaterThanOrEqual" dxfId="128">
      <formula>2.5</formula>
    </cfRule>
    <cfRule type="cellIs" priority="267" operator="greaterThanOrEqual" dxfId="127">
      <formula>1.5</formula>
    </cfRule>
    <cfRule type="cellIs" priority="268" operator="lessThan" dxfId="126">
      <formula>1.5</formula>
    </cfRule>
  </conditionalFormatting>
  <conditionalFormatting sqref="C74:O74">
    <cfRule type="expression" priority="269" dxfId="131">
      <formula>=LEN(TRIM(C74))=0</formula>
    </cfRule>
    <cfRule type="cellIs" priority="270" operator="greaterThanOrEqual" dxfId="130">
      <formula>4.5</formula>
    </cfRule>
    <cfRule type="cellIs" priority="271" operator="greaterThanOrEqual" dxfId="129">
      <formula>3.5</formula>
    </cfRule>
    <cfRule type="cellIs" priority="272" operator="greaterThanOrEqual" dxfId="128">
      <formula>2.5</formula>
    </cfRule>
    <cfRule type="cellIs" priority="273" operator="greaterThanOrEqual" dxfId="127">
      <formula>1.5</formula>
    </cfRule>
    <cfRule type="cellIs" priority="274" operator="lessThan" dxfId="126">
      <formula>1.5</formula>
    </cfRule>
  </conditionalFormatting>
  <conditionalFormatting sqref="C75:O75">
    <cfRule type="expression" priority="275" dxfId="131">
      <formula>=LEN(TRIM(C75))=0</formula>
    </cfRule>
    <cfRule type="cellIs" priority="276" operator="greaterThanOrEqual" dxfId="130">
      <formula>4.5</formula>
    </cfRule>
    <cfRule type="cellIs" priority="277" operator="greaterThanOrEqual" dxfId="129">
      <formula>3.5</formula>
    </cfRule>
    <cfRule type="cellIs" priority="278" operator="greaterThanOrEqual" dxfId="128">
      <formula>2.5</formula>
    </cfRule>
    <cfRule type="cellIs" priority="279" operator="greaterThanOrEqual" dxfId="127">
      <formula>1.5</formula>
    </cfRule>
    <cfRule type="cellIs" priority="280" operator="lessThan" dxfId="126">
      <formula>1.5</formula>
    </cfRule>
  </conditionalFormatting>
  <conditionalFormatting sqref="C76:O76">
    <cfRule type="expression" priority="281" dxfId="131">
      <formula>=LEN(TRIM(C76))=0</formula>
    </cfRule>
    <cfRule type="cellIs" priority="282" operator="greaterThanOrEqual" dxfId="130">
      <formula>4.5</formula>
    </cfRule>
    <cfRule type="cellIs" priority="283" operator="greaterThanOrEqual" dxfId="129">
      <formula>3.5</formula>
    </cfRule>
    <cfRule type="cellIs" priority="284" operator="greaterThanOrEqual" dxfId="128">
      <formula>2.5</formula>
    </cfRule>
    <cfRule type="cellIs" priority="285" operator="greaterThanOrEqual" dxfId="127">
      <formula>1.5</formula>
    </cfRule>
    <cfRule type="cellIs" priority="286" operator="lessThan" dxfId="126">
      <formula>1.5</formula>
    </cfRule>
  </conditionalFormatting>
  <conditionalFormatting sqref="C7:O7">
    <cfRule type="expression" priority="287" dxfId="131">
      <formula>=LEN(TRIM(C7))=0</formula>
    </cfRule>
    <cfRule type="cellIs" priority="288" operator="greaterThan" dxfId="130">
      <formula>5.4</formula>
    </cfRule>
    <cfRule type="cellIs" priority="289" operator="greaterThanOrEqual" dxfId="129">
      <formula>5.0</formula>
    </cfRule>
    <cfRule type="cellIs" priority="290" operator="lessThan" dxfId="126">
      <formula>5.0</formula>
    </cfRule>
  </conditionalFormatting>
  <conditionalFormatting sqref="C8:O8">
    <cfRule type="expression" priority="291" dxfId="131">
      <formula>=LEN(TRIM(C8))=0</formula>
    </cfRule>
    <cfRule type="cellIs" priority="292" operator="lessThan" dxfId="130">
      <formula>0.025</formula>
    </cfRule>
    <cfRule type="cellIs" priority="293" operator="lessThan" dxfId="129">
      <formula>0.04</formula>
    </cfRule>
    <cfRule type="cellIs" priority="294" operator="greaterThanOrEqual" dxfId="126">
      <formula>0.04</formula>
    </cfRule>
  </conditionalFormatting>
  <conditionalFormatting sqref="C9:O9">
    <cfRule type="expression" priority="295" dxfId="131">
      <formula>=LEN(TRIM(C9))=0</formula>
    </cfRule>
    <cfRule type="cellIs" priority="296" operator="greaterThanOrEqual" dxfId="130">
      <formula>4.5</formula>
    </cfRule>
    <cfRule type="cellIs" priority="297" operator="greaterThanOrEqual" dxfId="129">
      <formula>3.5</formula>
    </cfRule>
    <cfRule type="cellIs" priority="298" operator="greaterThanOrEqual" dxfId="128">
      <formula>2.5</formula>
    </cfRule>
    <cfRule type="cellIs" priority="299" operator="greaterThanOrEqual" dxfId="127">
      <formula>1.5</formula>
    </cfRule>
    <cfRule type="cellIs" priority="300" operator="lessThan" dxfId="126">
      <formula>1.5</formula>
    </cfRule>
  </conditionalFormatting>
  <conditionalFormatting sqref="C10:O10">
    <cfRule type="expression" priority="301" dxfId="131">
      <formula>=LEN(TRIM(C10))=0</formula>
    </cfRule>
    <cfRule type="cellIs" priority="302" operator="greaterThanOrEqual" dxfId="130">
      <formula>4.5</formula>
    </cfRule>
    <cfRule type="cellIs" priority="303" operator="greaterThanOrEqual" dxfId="129">
      <formula>3.5</formula>
    </cfRule>
    <cfRule type="cellIs" priority="304" operator="greaterThanOrEqual" dxfId="128">
      <formula>2.5</formula>
    </cfRule>
    <cfRule type="cellIs" priority="305" operator="greaterThanOrEqual" dxfId="127">
      <formula>1.5</formula>
    </cfRule>
    <cfRule type="cellIs" priority="306" operator="lessThan" dxfId="126">
      <formula>1.5</formula>
    </cfRule>
  </conditionalFormatting>
  <conditionalFormatting sqref="C11:O11">
    <cfRule type="expression" priority="307" dxfId="131">
      <formula>=LEN(TRIM(C11))=0</formula>
    </cfRule>
    <cfRule type="cellIs" priority="308" operator="greaterThanOrEqual" dxfId="130">
      <formula>4.5</formula>
    </cfRule>
    <cfRule type="cellIs" priority="309" operator="greaterThanOrEqual" dxfId="129">
      <formula>3.5</formula>
    </cfRule>
    <cfRule type="cellIs" priority="310" operator="greaterThanOrEqual" dxfId="128">
      <formula>2.5</formula>
    </cfRule>
    <cfRule type="cellIs" priority="311" operator="greaterThanOrEqual" dxfId="127">
      <formula>1.5</formula>
    </cfRule>
    <cfRule type="cellIs" priority="312" operator="lessThan" dxfId="126">
      <formula>1.5</formula>
    </cfRule>
  </conditionalFormatting>
  <dataValidations count="2">
    <dataValidation sqref="G40:N50 G53:N63 G66:N76" showDropDown="0" showInputMessage="1" showErrorMessage="1" allowBlank="1" type="list">
      <formula1>$Y$2:$Y$7</formula1>
    </dataValidation>
    <dataValidation sqref="G27:N37" showDropDown="0" showInputMessage="1" showErrorMessage="1" allowBlank="1"/>
  </dataValidations>
  <pageMargins left="0.7" right="0.7" top="0.75" bottom="0.75" header="0.3" footer="0.3"/>
  <pageSetup orientation="portrait"/>
  <legacyDrawing xmlns:r="http://schemas.openxmlformats.org/officeDocument/2006/relationships" r:id="anysvml"/>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3.xml><?xml version="1.0" encoding="utf-8"?>
<worksheet xmlns="http://schemas.openxmlformats.org/spreadsheetml/2006/main">
  <sheetPr>
    <outlinePr summaryBelow="1" summaryRight="1"/>
    <pageSetUpPr/>
  </sheetPr>
  <dimension ref="A2:BP96"/>
  <sheetViews>
    <sheetView zoomScale="74" zoomScaleNormal="55" workbookViewId="0">
      <selection activeCell="N47" sqref="C38:N47"/>
    </sheetView>
  </sheetViews>
  <sheetFormatPr baseColWidth="8" defaultColWidth="8.85546875" defaultRowHeight="15" customHeight="1"/>
  <cols>
    <col width="2.85546875" customWidth="1" style="1" min="1" max="1"/>
    <col width="48.28515625" customWidth="1" style="1" min="2" max="2"/>
    <col width="9.7109375" customWidth="1" style="1" min="3" max="14"/>
    <col width="13.42578125" customWidth="1" style="1" min="15" max="15"/>
    <col width="13.85546875" customWidth="1" style="1" min="16" max="16"/>
    <col width="16.140625" customWidth="1" style="1" min="17" max="17"/>
    <col width="14.42578125" customWidth="1" style="1" min="18" max="18"/>
    <col width="13.42578125" customWidth="1" style="1" min="19" max="19"/>
    <col width="8.85546875" customWidth="1" style="1" min="20" max="71"/>
    <col width="8.85546875" customWidth="1" style="1" min="72" max="16384"/>
  </cols>
  <sheetData>
    <row r="2" ht="14.45" customHeight="1">
      <c r="A2" s="220" t="n"/>
      <c r="B2" s="194" t="inlineStr">
        <is>
          <t>Team North</t>
        </is>
      </c>
      <c r="C2" s="197" t="inlineStr">
        <is>
          <t>Marco</t>
        </is>
      </c>
      <c r="D2" s="224" t="n"/>
      <c r="E2" s="220" t="n"/>
      <c r="F2" s="220" t="n"/>
      <c r="G2" s="220" t="n"/>
      <c r="H2" s="220" t="n"/>
      <c r="I2" s="220" t="n"/>
      <c r="J2" s="220" t="n"/>
      <c r="K2" s="220" t="n"/>
      <c r="L2" s="220" t="n"/>
      <c r="M2" s="220" t="n"/>
      <c r="N2" s="220" t="n"/>
      <c r="O2" s="220" t="n"/>
      <c r="P2" s="220" t="n"/>
      <c r="Q2" s="220" t="n"/>
      <c r="R2" s="220" t="n"/>
      <c r="S2" s="220" t="n"/>
      <c r="T2" s="220" t="n"/>
      <c r="U2" s="220" t="n"/>
      <c r="V2" s="220" t="n"/>
      <c r="W2" s="220" t="n"/>
      <c r="X2" s="220" t="n"/>
      <c r="Y2" s="93" t="n">
        <v>5</v>
      </c>
      <c r="Z2" s="93" t="n"/>
      <c r="AA2" s="220" t="n"/>
      <c r="AB2" s="220" t="n"/>
      <c r="AC2" s="220" t="n"/>
      <c r="AD2" s="220" t="n"/>
      <c r="AE2" s="220" t="n"/>
      <c r="AF2" s="220" t="n"/>
      <c r="AG2" s="220" t="n"/>
      <c r="AH2" s="220" t="n"/>
      <c r="AI2" s="220" t="n"/>
      <c r="AJ2" s="220" t="n"/>
      <c r="AK2" s="220" t="n"/>
      <c r="AL2" s="220" t="n"/>
      <c r="AM2" s="220" t="n"/>
      <c r="AN2" s="220" t="n"/>
      <c r="AO2" s="220" t="n"/>
      <c r="AP2" s="220" t="n"/>
      <c r="AQ2" s="220" t="n"/>
      <c r="AR2" s="220" t="n"/>
      <c r="AS2" s="220" t="n"/>
      <c r="AT2" s="220" t="n"/>
      <c r="AU2" s="220" t="n"/>
      <c r="AV2" s="220" t="n"/>
      <c r="AW2" s="220" t="n"/>
      <c r="AX2" s="220" t="n"/>
      <c r="AY2" s="220" t="n"/>
      <c r="AZ2" s="220" t="n"/>
      <c r="BA2" s="220" t="n"/>
      <c r="BB2" s="220" t="n"/>
      <c r="BC2" s="220" t="n"/>
      <c r="BD2" s="220" t="n"/>
      <c r="BE2" s="220" t="n"/>
      <c r="BF2" s="220" t="n"/>
      <c r="BG2" s="220" t="n"/>
      <c r="BH2" s="220" t="n"/>
      <c r="BI2" s="220" t="n"/>
      <c r="BJ2" s="220" t="n"/>
      <c r="BK2" s="220" t="n"/>
      <c r="BL2" s="220" t="n"/>
      <c r="BM2" s="220" t="n"/>
      <c r="BN2" s="220" t="n"/>
      <c r="BO2" s="220" t="n"/>
      <c r="BP2" s="220" t="n"/>
    </row>
    <row r="3" ht="14.45" customHeight="1">
      <c r="A3" s="220" t="n"/>
      <c r="B3" s="225" t="n"/>
      <c r="D3" s="226" t="n"/>
      <c r="E3" s="220" t="n"/>
      <c r="F3" s="220" t="n"/>
      <c r="G3" s="220" t="n"/>
      <c r="H3" s="220" t="n"/>
      <c r="I3" s="220" t="n"/>
      <c r="J3" s="220" t="n"/>
      <c r="K3" s="220" t="n"/>
      <c r="L3" s="220" t="n"/>
      <c r="M3" s="220" t="n"/>
      <c r="N3" s="220" t="n"/>
      <c r="O3" s="220" t="n"/>
      <c r="P3" s="220" t="n"/>
      <c r="Q3" s="220" t="n"/>
      <c r="R3" s="220" t="n"/>
      <c r="S3" s="220" t="n"/>
      <c r="T3" s="220" t="n"/>
      <c r="U3" s="220" t="n"/>
      <c r="V3" s="220" t="n"/>
      <c r="W3" s="220" t="n"/>
      <c r="X3" s="220" t="n"/>
      <c r="Y3" s="93" t="n">
        <v>4</v>
      </c>
      <c r="Z3" s="93" t="n"/>
      <c r="AA3" s="220" t="n"/>
      <c r="AB3" s="220" t="n"/>
      <c r="AC3" s="220" t="n"/>
      <c r="AD3" s="220" t="n"/>
      <c r="AE3" s="220" t="n"/>
      <c r="AF3" s="220" t="n"/>
      <c r="AG3" s="220" t="n"/>
      <c r="AH3" s="220" t="n"/>
      <c r="AI3" s="220" t="n"/>
      <c r="AJ3" s="220" t="n"/>
      <c r="AK3" s="220" t="n"/>
      <c r="AL3" s="220" t="n"/>
      <c r="AM3" s="220" t="n"/>
      <c r="AN3" s="220" t="n"/>
      <c r="AO3" s="220" t="n"/>
      <c r="AP3" s="220" t="n"/>
      <c r="AQ3" s="220" t="n"/>
      <c r="AR3" s="220" t="n"/>
      <c r="AS3" s="220" t="n"/>
      <c r="AT3" s="220" t="n"/>
      <c r="AU3" s="220" t="n"/>
      <c r="AV3" s="220" t="n"/>
      <c r="AW3" s="220" t="n"/>
      <c r="AX3" s="220" t="n"/>
      <c r="AY3" s="220" t="n"/>
      <c r="AZ3" s="220" t="n"/>
      <c r="BA3" s="220" t="n"/>
      <c r="BB3" s="220" t="n"/>
      <c r="BC3" s="220" t="n"/>
      <c r="BD3" s="220" t="n"/>
      <c r="BE3" s="220" t="n"/>
      <c r="BF3" s="220" t="n"/>
      <c r="BG3" s="220" t="n"/>
      <c r="BH3" s="220" t="n"/>
      <c r="BI3" s="220" t="n"/>
      <c r="BJ3" s="220" t="n"/>
      <c r="BK3" s="220" t="n"/>
      <c r="BL3" s="220" t="n"/>
      <c r="BM3" s="220" t="n"/>
      <c r="BN3" s="220" t="n"/>
      <c r="BO3" s="220" t="n"/>
      <c r="BP3" s="220" t="n"/>
    </row>
    <row r="4">
      <c r="A4" s="220" t="n"/>
      <c r="B4" s="227" t="n"/>
      <c r="C4" s="228" t="n"/>
      <c r="D4" s="229" t="n"/>
      <c r="E4" s="220" t="n"/>
      <c r="F4" s="220" t="n"/>
      <c r="G4" s="220" t="n"/>
      <c r="H4" s="220" t="n"/>
      <c r="I4" s="220" t="n"/>
      <c r="J4" s="220" t="n"/>
      <c r="K4" s="220" t="n"/>
      <c r="L4" s="220" t="n"/>
      <c r="M4" s="220" t="n"/>
      <c r="N4" s="220" t="n"/>
      <c r="O4" s="220" t="n"/>
      <c r="P4" s="220" t="n"/>
      <c r="Q4" s="220" t="n"/>
      <c r="R4" s="220" t="n"/>
      <c r="S4" s="220" t="n"/>
      <c r="T4" s="220" t="n"/>
      <c r="U4" s="220" t="n"/>
      <c r="V4" s="220" t="n"/>
      <c r="W4" s="220" t="n"/>
      <c r="X4" s="220" t="n"/>
      <c r="Y4" s="93" t="n">
        <v>3</v>
      </c>
      <c r="Z4" s="93" t="n"/>
      <c r="AA4" s="220" t="n"/>
      <c r="AB4" s="220" t="n"/>
      <c r="AC4" s="220" t="n"/>
      <c r="AD4" s="220" t="n"/>
      <c r="AE4" s="220" t="n"/>
      <c r="AF4" s="220" t="n"/>
      <c r="AG4" s="220" t="n"/>
      <c r="AH4" s="220" t="n"/>
      <c r="AI4" s="220" t="n"/>
      <c r="AJ4" s="220" t="n"/>
      <c r="AK4" s="220" t="n"/>
      <c r="AL4" s="220" t="n"/>
      <c r="AM4" s="220" t="n"/>
      <c r="AN4" s="220" t="n"/>
      <c r="AO4" s="220" t="n"/>
      <c r="AP4" s="220" t="n"/>
      <c r="AQ4" s="220" t="n"/>
      <c r="AR4" s="220" t="n"/>
      <c r="AS4" s="220" t="n"/>
      <c r="AT4" s="220" t="n"/>
      <c r="AU4" s="220" t="n"/>
      <c r="AV4" s="220" t="n"/>
      <c r="AW4" s="220" t="n"/>
      <c r="AX4" s="220" t="n"/>
      <c r="AY4" s="220" t="n"/>
      <c r="AZ4" s="220" t="n"/>
      <c r="BA4" s="220" t="n"/>
      <c r="BB4" s="220" t="n"/>
      <c r="BC4" s="220" t="n"/>
      <c r="BD4" s="220" t="n"/>
      <c r="BE4" s="220" t="n"/>
      <c r="BF4" s="220" t="n"/>
      <c r="BG4" s="220" t="n"/>
      <c r="BH4" s="220" t="n"/>
      <c r="BI4" s="220" t="n"/>
      <c r="BJ4" s="220" t="n"/>
      <c r="BK4" s="220" t="n"/>
      <c r="BL4" s="220" t="n"/>
      <c r="BM4" s="220" t="n"/>
      <c r="BN4" s="220" t="n"/>
      <c r="BO4" s="220" t="n"/>
      <c r="BP4" s="220" t="n"/>
    </row>
    <row r="5">
      <c r="A5" s="220" t="n"/>
      <c r="B5" s="220" t="n"/>
      <c r="C5" s="220" t="n"/>
      <c r="D5" s="220" t="n"/>
      <c r="E5" s="220" t="n"/>
      <c r="F5" s="94" t="n"/>
      <c r="G5" s="94" t="n"/>
      <c r="H5" s="94" t="n"/>
      <c r="I5" s="94" t="n"/>
      <c r="J5" s="94" t="n"/>
      <c r="K5" s="220" t="n"/>
      <c r="L5" s="220" t="n"/>
      <c r="M5" s="220" t="n"/>
      <c r="N5" s="220" t="n"/>
      <c r="O5" s="220" t="n"/>
      <c r="P5" s="220" t="n"/>
      <c r="Q5" s="220" t="n"/>
      <c r="R5" s="220" t="n"/>
      <c r="S5" s="220" t="n"/>
      <c r="T5" s="220" t="n"/>
      <c r="U5" s="220" t="n"/>
      <c r="V5" s="220" t="n"/>
      <c r="W5" s="220" t="n"/>
      <c r="X5" s="220" t="n"/>
      <c r="Y5" s="93" t="n">
        <v>2</v>
      </c>
      <c r="Z5" s="93" t="n"/>
      <c r="AA5" s="220" t="n"/>
      <c r="AB5" s="220" t="n"/>
      <c r="AC5" s="220" t="n"/>
      <c r="AD5" s="220" t="n"/>
      <c r="AE5" s="220" t="n"/>
      <c r="AF5" s="220" t="n"/>
      <c r="AG5" s="220" t="n"/>
      <c r="AH5" s="220" t="n"/>
      <c r="AI5" s="220" t="n"/>
      <c r="AJ5" s="220" t="n"/>
      <c r="AK5" s="220" t="n"/>
      <c r="AL5" s="220" t="n"/>
      <c r="AM5" s="220" t="n"/>
      <c r="AN5" s="220" t="n"/>
      <c r="AO5" s="220" t="n"/>
      <c r="AP5" s="220" t="n"/>
      <c r="AQ5" s="220" t="n"/>
      <c r="AR5" s="220" t="n"/>
      <c r="AS5" s="220" t="n"/>
      <c r="AT5" s="220" t="n"/>
      <c r="AU5" s="220" t="n"/>
      <c r="AV5" s="220" t="n"/>
      <c r="AW5" s="220" t="n"/>
      <c r="AX5" s="220" t="n"/>
      <c r="AY5" s="220" t="n"/>
      <c r="AZ5" s="220" t="n"/>
      <c r="BA5" s="220" t="n"/>
      <c r="BB5" s="220" t="n"/>
      <c r="BC5" s="220" t="n"/>
      <c r="BD5" s="220" t="n"/>
      <c r="BE5" s="220" t="n"/>
      <c r="BF5" s="220" t="n"/>
      <c r="BG5" s="220" t="n"/>
      <c r="BH5" s="220" t="n"/>
      <c r="BI5" s="220" t="n"/>
      <c r="BJ5" s="220" t="n"/>
      <c r="BK5" s="220" t="n"/>
      <c r="BL5" s="220" t="n"/>
      <c r="BM5" s="220" t="n"/>
      <c r="BN5" s="220" t="n"/>
      <c r="BO5" s="220" t="n"/>
      <c r="BP5" s="220" t="n"/>
    </row>
    <row r="6" ht="14.45" customHeight="1">
      <c r="A6" s="220" t="n"/>
      <c r="B6" s="3" t="inlineStr">
        <is>
          <t>Team Average</t>
        </is>
      </c>
      <c r="C6" s="133" t="inlineStr">
        <is>
          <t>Jan</t>
        </is>
      </c>
      <c r="D6" s="133" t="inlineStr">
        <is>
          <t>Feb</t>
        </is>
      </c>
      <c r="E6" s="133" t="inlineStr">
        <is>
          <t>Mar</t>
        </is>
      </c>
      <c r="F6" s="133" t="inlineStr">
        <is>
          <t>Apr</t>
        </is>
      </c>
      <c r="G6" s="133" t="inlineStr">
        <is>
          <t>May</t>
        </is>
      </c>
      <c r="H6" s="133" t="inlineStr">
        <is>
          <t>June</t>
        </is>
      </c>
      <c r="I6" s="133" t="inlineStr">
        <is>
          <t>July</t>
        </is>
      </c>
      <c r="J6" s="133" t="inlineStr">
        <is>
          <t>Aug</t>
        </is>
      </c>
      <c r="K6" s="133" t="inlineStr">
        <is>
          <t>Sept</t>
        </is>
      </c>
      <c r="L6" s="133" t="inlineStr">
        <is>
          <t>Oct</t>
        </is>
      </c>
      <c r="M6" s="133" t="inlineStr">
        <is>
          <t>Nov</t>
        </is>
      </c>
      <c r="N6" s="133" t="inlineStr">
        <is>
          <t>Dec</t>
        </is>
      </c>
      <c r="O6" s="134" t="inlineStr">
        <is>
          <t>Average</t>
        </is>
      </c>
      <c r="P6" s="220" t="n"/>
      <c r="Q6" s="199" t="inlineStr">
        <is>
          <t>TEAM KPI'S AND AVERAGES</t>
        </is>
      </c>
      <c r="R6" s="230" t="n"/>
      <c r="S6" s="230" t="n"/>
      <c r="T6" s="230" t="n"/>
      <c r="U6" s="230" t="n"/>
      <c r="V6" s="230" t="n"/>
      <c r="W6" s="224" t="n"/>
      <c r="X6" s="91" t="n"/>
      <c r="Y6" s="118" t="n">
        <v>1</v>
      </c>
      <c r="Z6" s="91" t="n"/>
      <c r="AA6" s="91" t="n"/>
      <c r="AB6" s="220" t="n"/>
      <c r="AC6" s="93" t="n">
        <v>2</v>
      </c>
      <c r="AD6" s="93" t="n">
        <v>4</v>
      </c>
      <c r="AE6" s="220" t="n"/>
      <c r="AF6" s="220" t="n"/>
      <c r="AG6" s="220" t="n"/>
      <c r="AH6" s="220" t="n"/>
      <c r="AI6" s="220" t="n"/>
      <c r="AJ6" s="220" t="n"/>
      <c r="AK6" s="220" t="n"/>
      <c r="AL6" s="220" t="n"/>
      <c r="AM6" s="220" t="n"/>
      <c r="AN6" s="220" t="n"/>
      <c r="AO6" s="220" t="n"/>
      <c r="AP6" s="220" t="n"/>
      <c r="AQ6" s="220" t="n"/>
      <c r="AR6" s="220" t="n"/>
      <c r="AS6" s="220" t="n"/>
      <c r="AT6" s="220" t="n"/>
      <c r="AU6" s="220" t="n"/>
      <c r="AV6" s="220" t="n"/>
      <c r="AW6" s="220" t="n"/>
      <c r="AX6" s="220" t="n"/>
      <c r="AY6" s="220" t="n"/>
      <c r="AZ6" s="220" t="n"/>
      <c r="BA6" s="220" t="n"/>
      <c r="BB6" s="220" t="n"/>
      <c r="BC6" s="220" t="n"/>
      <c r="BD6" s="220" t="n"/>
      <c r="BE6" s="220" t="n"/>
      <c r="BF6" s="220" t="n"/>
      <c r="BG6" s="220" t="n"/>
      <c r="BH6" s="220" t="n"/>
      <c r="BI6" s="220" t="n"/>
      <c r="BJ6" s="220" t="n"/>
      <c r="BK6" s="220" t="n"/>
      <c r="BL6" s="220" t="n"/>
      <c r="BM6" s="220" t="n"/>
      <c r="BN6" s="220" t="n"/>
      <c r="BO6" s="220" t="n"/>
      <c r="BP6" s="220" t="n"/>
    </row>
    <row r="7" ht="14.45" customHeight="1">
      <c r="A7" s="220" t="n"/>
      <c r="B7" s="2" t="inlineStr">
        <is>
          <t>Billings</t>
        </is>
      </c>
      <c r="C7" s="131">
        <f>IF(SUMIFS(FTETable[Jan], FTETable[Team], "Physio_North")=0, "",
    SUMIFS(FTETable[Jan], FTETable[Team], "Physio_North") /
    SUMIFS(FTETable[FTE], FTETable[Team], "Physio_North", FTETable[Jan], "&gt;0"))</f>
        <v/>
      </c>
      <c r="D7" s="131">
        <f>IF(SUMIFS(FTETable[Feb], FTETable[Team], "Physio_North")=0, "",
    SUMIFS(FTETable[Feb], FTETable[Team], "Physio_North") /
    SUMIFS(FTETable[FTE], FTETable[Team], "Physio_North", FTETable[Feb], "&gt;0"))</f>
        <v/>
      </c>
      <c r="E7" s="131">
        <f>IF(SUMIFS(FTETable[Mar], FTETable[Team], "Physio_North")=0, "",
    SUMIFS(FTETable[Mar], FTETable[Team], "Physio_North") /
    SUMIFS(FTETable[FTE], FTETable[Team], "Physio_North", FTETable[Mar], "&gt;0"))</f>
        <v/>
      </c>
      <c r="F7" s="131">
        <f>IF(SUMIFS(FTETable[Apr], FTETable[Team], "Physio_North")=0, "",
    SUMIFS(FTETable[Apr], FTETable[Team], "Physio_North") /
    SUMIFS(FTETable[FTE], FTETable[Team], "Physio_North", FTETable[Apr], "&gt;0"))</f>
        <v/>
      </c>
      <c r="G7" s="131">
        <f>IF(SUMIFS(FTETable[May], FTETable[Team], "Physio_North")=0, "",
    SUMIFS(FTETable[May], FTETable[Team], "Physio_North") /
    SUMIFS(FTETable[FTE], FTETable[Team], "Physio_North", FTETable[May], "&gt;0"))</f>
        <v/>
      </c>
      <c r="H7" s="131">
        <f>IF(SUMIFS(FTETable[June], FTETable[Team], "Physio_North")=0, "",
    SUMIFS(FTETable[June], FTETable[Team], "Physio_North") /
    SUMIFS(FTETable[FTE], FTETable[Team], "Physio_North", FTETable[June], "&gt;0"))</f>
        <v/>
      </c>
      <c r="I7" s="131">
        <f>IF(SUMIFS(FTETable[July], FTETable[Team], "Physio_North")=0, "",
    SUMIFS(FTETable[July], FTETable[Team], "Physio_North") /
    SUMIFS(FTETable[FTE], FTETable[Team], "Physio_North", FTETable[July], "&gt;0"))</f>
        <v/>
      </c>
      <c r="J7" s="131">
        <f>IF(SUMIFS(FTETable[Aug], FTETable[Team], "Physio_North")=0, "",
    SUMIFS(FTETable[Aug], FTETable[Team], "Physio_North") /
    SUMIFS(FTETable[FTE], FTETable[Team], "Physio_North", FTETable[Aug], "&gt;0"))</f>
        <v/>
      </c>
      <c r="K7" s="131">
        <f>IF(SUMIFS(FTETable[Sept], FTETable[Team], "Physio_North")=0, "",
    SUMIFS(FTETable[Sept], FTETable[Team], "Physio_North") /
    SUMIFS(FTETable[FTE], FTETable[Team], "Physio_North", FTETable[Sept], "&gt;0"))</f>
        <v/>
      </c>
      <c r="L7" s="131">
        <f>IF(SUMIFS(FTETable[Oct], FTETable[Team], "Physio_North")=0, "",
    SUMIFS(FTETable[Oct], FTETable[Team], "Physio_North") /
    SUMIFS(FTETable[FTE], FTETable[Team], "Physio_North", FTETable[Oct], "&gt;0"))</f>
        <v/>
      </c>
      <c r="M7" s="131">
        <f>IF(SUMIFS(FTETable[Nov], FTETable[Team], "Physio_North")=0, "",
    SUMIFS(FTETable[Nov], FTETable[Team], "Physio_North") /
    SUMIFS(FTETable[FTE], FTETable[Team], "Physio_North", FTETable[Nov], "&gt;0"))</f>
        <v/>
      </c>
      <c r="N7" s="131">
        <f>IF(SUMIFS(FTETable[Dec], FTETable[Team], "Physio_North")=0, "",
    SUMIFS(FTETable[Dec], FTETable[Team], "Physio_North") /
    SUMIFS(FTETable[FTE], FTETable[Team], "Physio_North", FTETable[Dec], "&gt;0"))</f>
        <v/>
      </c>
      <c r="O7" s="131">
        <f>IFERROR(AVERAGEIF(C7:N7, "&gt;0"),"")</f>
        <v/>
      </c>
      <c r="P7" s="220" t="n"/>
      <c r="Q7" s="187" t="inlineStr">
        <is>
          <t>Team Billings Averages</t>
        </is>
      </c>
      <c r="R7" s="231" t="n"/>
      <c r="S7" s="176" t="inlineStr">
        <is>
          <t>Below</t>
        </is>
      </c>
      <c r="T7" s="176" t="inlineStr">
        <is>
          <t>Good</t>
        </is>
      </c>
      <c r="U7" s="10" t="inlineStr">
        <is>
          <t>Excellent</t>
        </is>
      </c>
      <c r="V7" s="205" t="inlineStr">
        <is>
          <t>Month</t>
        </is>
      </c>
      <c r="W7" s="239" t="n"/>
      <c r="X7" s="91" t="n"/>
      <c r="Y7" s="91" t="n"/>
      <c r="Z7" s="91" t="n"/>
      <c r="AA7" s="91" t="n"/>
      <c r="AB7" s="220" t="n"/>
      <c r="AC7" s="93" t="n">
        <v>1</v>
      </c>
      <c r="AD7" s="93" t="n">
        <v>5</v>
      </c>
      <c r="AE7" s="220" t="n"/>
      <c r="AF7" s="220" t="n"/>
      <c r="AG7" s="220" t="n"/>
      <c r="AH7" s="220" t="n"/>
      <c r="AI7" s="220" t="n"/>
      <c r="AJ7" s="220" t="n"/>
      <c r="AK7" s="220" t="n"/>
      <c r="AL7" s="220" t="n"/>
      <c r="AM7" s="220" t="n"/>
      <c r="AN7" s="220" t="n"/>
      <c r="AO7" s="220" t="n"/>
      <c r="AP7" s="220" t="n"/>
      <c r="AQ7" s="220" t="n"/>
      <c r="AR7" s="220" t="n"/>
      <c r="AS7" s="220" t="n"/>
      <c r="AT7" s="220" t="n"/>
      <c r="AU7" s="220" t="n"/>
      <c r="AV7" s="220" t="n"/>
      <c r="AW7" s="220" t="n"/>
      <c r="AX7" s="220" t="n"/>
      <c r="AY7" s="220" t="n"/>
      <c r="AZ7" s="220" t="n"/>
      <c r="BA7" s="220" t="n"/>
      <c r="BB7" s="220" t="n"/>
      <c r="BC7" s="220" t="n"/>
      <c r="BD7" s="220" t="n"/>
      <c r="BE7" s="220" t="n"/>
      <c r="BF7" s="220" t="n"/>
      <c r="BG7" s="220" t="n"/>
      <c r="BH7" s="220" t="n"/>
      <c r="BI7" s="220" t="n"/>
      <c r="BJ7" s="220" t="n"/>
      <c r="BK7" s="220" t="n"/>
      <c r="BL7" s="220" t="n"/>
      <c r="BM7" s="220" t="n"/>
      <c r="BN7" s="220" t="n"/>
      <c r="BO7" s="220" t="n"/>
      <c r="BP7" s="220" t="n"/>
    </row>
    <row r="8" ht="14.45" customHeight="1">
      <c r="A8" s="220" t="n"/>
      <c r="B8" s="2" t="inlineStr">
        <is>
          <t>Ceased Services</t>
        </is>
      </c>
      <c r="C8" s="136">
        <f>IFERROR(AVERAGE(Ceased_North[Jan]),"")</f>
        <v/>
      </c>
      <c r="D8" s="136">
        <f>IFERROR(AVERAGE(Ceased_North[Feb]),"")</f>
        <v/>
      </c>
      <c r="E8" s="136">
        <f>IFERROR(AVERAGE(Ceased_North[Mar]),"")</f>
        <v/>
      </c>
      <c r="F8" s="136">
        <f>IFERROR(AVERAGE(Ceased_North[Apr]),"")</f>
        <v/>
      </c>
      <c r="G8" s="136">
        <f>IFERROR(AVERAGE(Ceased_North[May]),"")</f>
        <v/>
      </c>
      <c r="H8" s="136">
        <f>IFERROR(AVERAGE(Ceased_North[June]),"")</f>
        <v/>
      </c>
      <c r="I8" s="136">
        <f>IFERROR(AVERAGE(Ceased_North[July]),"")</f>
        <v/>
      </c>
      <c r="J8" s="136">
        <f>IFERROR(AVERAGE(Ceased_North[Aug]),"")</f>
        <v/>
      </c>
      <c r="K8" s="136">
        <f>IFERROR(AVERAGE(Ceased_North[Sept]),"")</f>
        <v/>
      </c>
      <c r="L8" s="136">
        <f>IFERROR(AVERAGE(Ceased_North[Oct]),"")</f>
        <v/>
      </c>
      <c r="M8" s="136">
        <f>IFERROR(AVERAGE(Ceased_North[Nov]),"")</f>
        <v/>
      </c>
      <c r="N8" s="136">
        <f>IFERROR(AVERAGE(Ceased_North[Dec]),"")</f>
        <v/>
      </c>
      <c r="O8" s="136">
        <f>IFERROR(AVERAGEIF(C8:N8, "&gt;0"),"")</f>
        <v/>
      </c>
      <c r="P8" s="220" t="n"/>
      <c r="Q8" s="241" t="n"/>
      <c r="R8" s="242" t="n"/>
      <c r="S8" s="22" t="inlineStr">
        <is>
          <t xml:space="preserve">&lt;5 </t>
        </is>
      </c>
      <c r="T8" s="24" t="inlineStr">
        <is>
          <t xml:space="preserve">5-5.4 </t>
        </is>
      </c>
      <c r="U8" s="26" t="inlineStr">
        <is>
          <t xml:space="preserve">&gt;5.4 </t>
        </is>
      </c>
      <c r="V8" s="200" t="n">
        <v>46023</v>
      </c>
      <c r="W8" s="239" t="n"/>
      <c r="X8" s="91" t="n"/>
      <c r="Y8" s="91" t="n"/>
      <c r="Z8" s="91" t="n"/>
      <c r="AA8" s="91" t="n"/>
      <c r="AB8" s="220" t="n"/>
      <c r="AC8" s="220" t="n"/>
      <c r="AD8" s="220" t="n"/>
      <c r="AE8" s="220" t="n"/>
      <c r="AF8" s="220" t="n"/>
      <c r="AG8" s="220" t="n"/>
      <c r="AH8" s="220" t="n"/>
      <c r="AI8" s="220" t="n"/>
      <c r="AJ8" s="220" t="n"/>
      <c r="AK8" s="220" t="n"/>
      <c r="AL8" s="220" t="n"/>
      <c r="AM8" s="220" t="n"/>
      <c r="AN8" s="220" t="n"/>
      <c r="AO8" s="220" t="n"/>
      <c r="AP8" s="220" t="n"/>
      <c r="AQ8" s="220" t="n"/>
      <c r="AR8" s="220" t="n"/>
      <c r="AS8" s="220" t="n"/>
      <c r="AT8" s="220" t="n"/>
      <c r="AU8" s="220" t="n"/>
      <c r="AV8" s="220" t="n"/>
      <c r="AW8" s="220" t="n"/>
      <c r="AX8" s="220" t="n"/>
      <c r="AY8" s="220" t="n"/>
      <c r="AZ8" s="220" t="n"/>
      <c r="BA8" s="220" t="n"/>
      <c r="BB8" s="220" t="n"/>
      <c r="BC8" s="220" t="n"/>
      <c r="BD8" s="220" t="n"/>
      <c r="BE8" s="220" t="n"/>
      <c r="BF8" s="220" t="n"/>
      <c r="BG8" s="220" t="n"/>
      <c r="BH8" s="220" t="n"/>
      <c r="BI8" s="220" t="n"/>
      <c r="BJ8" s="220" t="n"/>
      <c r="BK8" s="220" t="n"/>
      <c r="BL8" s="220" t="n"/>
      <c r="BM8" s="220" t="n"/>
      <c r="BN8" s="220" t="n"/>
      <c r="BO8" s="220" t="n"/>
      <c r="BP8" s="220" t="n"/>
    </row>
    <row r="9" ht="14.45" customFormat="1" customHeight="1" s="220">
      <c r="B9" s="2" t="inlineStr">
        <is>
          <t>Documentation</t>
        </is>
      </c>
      <c r="C9" s="137">
        <f>IFERROR(AVERAGE(Documentation_North[Jan]),"")</f>
        <v/>
      </c>
      <c r="D9" s="137">
        <f>IFERROR(AVERAGE(Documentation_North[Feb]),"")</f>
        <v/>
      </c>
      <c r="E9" s="137">
        <f>IFERROR(AVERAGE(Documentation_North[Mar]),"")</f>
        <v/>
      </c>
      <c r="F9" s="137">
        <f>IFERROR(AVERAGE(Documentation_North[Apr]),"")</f>
        <v/>
      </c>
      <c r="G9" s="137">
        <f>IFERROR(AVERAGE(Documentation_North[May]),"")</f>
        <v/>
      </c>
      <c r="H9" s="137">
        <f>IFERROR(AVERAGE(Documentation_North[June]),"")</f>
        <v/>
      </c>
      <c r="I9" s="137">
        <f>IFERROR(AVERAGE(Documentation_North[July]),"")</f>
        <v/>
      </c>
      <c r="J9" s="137">
        <f>IFERROR(AVERAGE(Documentation_North[Aug]),"")</f>
        <v/>
      </c>
      <c r="K9" s="137">
        <f>IFERROR(AVERAGE(Documentation_North[Sept]),"")</f>
        <v/>
      </c>
      <c r="L9" s="137">
        <f>IFERROR(AVERAGE(Documentation_North[Oct]),"")</f>
        <v/>
      </c>
      <c r="M9" s="137">
        <f>IFERROR(AVERAGE(Documentation_North[Nov]),"")</f>
        <v/>
      </c>
      <c r="N9" s="137">
        <f>IFERROR(AVERAGE(Documentation_North[Dec]),"")</f>
        <v/>
      </c>
      <c r="O9" s="137">
        <f>IFERROR(AVERAGEIF(C9:N9, "&gt;0"),"")</f>
        <v/>
      </c>
      <c r="Q9" s="241" t="n"/>
      <c r="R9" s="242" t="n"/>
      <c r="S9" s="22" t="inlineStr">
        <is>
          <t>&lt;4.99</t>
        </is>
      </c>
      <c r="T9" s="24" t="inlineStr">
        <is>
          <t>4.99-5.39</t>
        </is>
      </c>
      <c r="U9" s="26" t="inlineStr">
        <is>
          <t>&gt;5.39</t>
        </is>
      </c>
      <c r="V9" s="203" t="n">
        <v>46054</v>
      </c>
      <c r="W9" s="224" t="n"/>
      <c r="X9" s="91" t="n"/>
      <c r="Y9" s="91" t="n"/>
      <c r="Z9" s="91" t="n"/>
      <c r="AA9" s="91" t="n"/>
    </row>
    <row r="10" ht="14.45" customFormat="1" customHeight="1" s="220">
      <c r="B10" s="2" t="inlineStr">
        <is>
          <t>Admin &amp; Operational Efficiency</t>
        </is>
      </c>
      <c r="C10" s="137">
        <f>IFERROR(AVERAGE(Admin_North[Jan]),"")</f>
        <v/>
      </c>
      <c r="D10" s="137">
        <f>IFERROR(AVERAGE(Admin_North[Feb]),"")</f>
        <v/>
      </c>
      <c r="E10" s="137">
        <f>IFERROR(AVERAGE(Admin_North[Mar]),"")</f>
        <v/>
      </c>
      <c r="F10" s="137">
        <f>IFERROR(AVERAGE(Admin_North[Apr]),"")</f>
        <v/>
      </c>
      <c r="G10" s="137">
        <f>IFERROR(AVERAGE(Admin_North[May]),"")</f>
        <v/>
      </c>
      <c r="H10" s="137">
        <f>IFERROR(AVERAGE(Admin_North[June]),"")</f>
        <v/>
      </c>
      <c r="I10" s="137">
        <f>IFERROR(AVERAGE(Admin_North[July]),"")</f>
        <v/>
      </c>
      <c r="J10" s="137">
        <f>IFERROR(AVERAGE(Admin_North[Aug]),"")</f>
        <v/>
      </c>
      <c r="K10" s="137">
        <f>IFERROR(AVERAGE(Admin_North[Sept]),"")</f>
        <v/>
      </c>
      <c r="L10" s="137">
        <f>IFERROR(AVERAGE(Admin_North[Oct]),"")</f>
        <v/>
      </c>
      <c r="M10" s="137">
        <f>IFERROR(AVERAGE(Admin_North[Nov]),"")</f>
        <v/>
      </c>
      <c r="N10" s="137">
        <f>IFERROR(AVERAGE(Admin_North[Dec]),"")</f>
        <v/>
      </c>
      <c r="O10" s="137">
        <f>IFERROR(AVERAGEIF(C10:N10, "&gt;0"),"")</f>
        <v/>
      </c>
      <c r="Q10" s="232" t="n"/>
      <c r="R10" s="233" t="n"/>
      <c r="S10" s="22" t="n"/>
      <c r="T10" s="24" t="n"/>
      <c r="U10" s="43" t="n"/>
      <c r="V10" s="201" t="n"/>
      <c r="W10" s="239" t="n"/>
      <c r="X10" s="91" t="n"/>
      <c r="Y10" s="91" t="n"/>
      <c r="Z10" s="91" t="n"/>
      <c r="AA10" s="91" t="n"/>
    </row>
    <row r="11" ht="14.45" customHeight="1">
      <c r="A11" s="220" t="n"/>
      <c r="B11" s="4" t="inlineStr">
        <is>
          <t>Attitude, Learning, Collaboration &amp; Client Impact</t>
        </is>
      </c>
      <c r="C11" s="138">
        <f>IFERROR(AVERAGE(Attitude_North[Jan]),"")</f>
        <v/>
      </c>
      <c r="D11" s="138">
        <f>IFERROR(AVERAGE(Attitude_North[Feb]),"")</f>
        <v/>
      </c>
      <c r="E11" s="138">
        <f>IFERROR(AVERAGE(Attitude_North[Mar]),"")</f>
        <v/>
      </c>
      <c r="F11" s="138">
        <f>IFERROR(AVERAGE(Attitude_North[Apr]),"")</f>
        <v/>
      </c>
      <c r="G11" s="138">
        <f>IFERROR(AVERAGE(Attitude_North[May]),"")</f>
        <v/>
      </c>
      <c r="H11" s="138">
        <f>IFERROR(AVERAGE(Attitude_North[June]),"")</f>
        <v/>
      </c>
      <c r="I11" s="138">
        <f>IFERROR(AVERAGE(Attitude_North[July]),"")</f>
        <v/>
      </c>
      <c r="J11" s="138">
        <f>IFERROR(AVERAGE(Attitude_North[Aug]),"")</f>
        <v/>
      </c>
      <c r="K11" s="138">
        <f>IFERROR(AVERAGE(Attitude_North[Sept]),"")</f>
        <v/>
      </c>
      <c r="L11" s="138">
        <f>IFERROR(AVERAGE(Attitude_North[Oct]),"")</f>
        <v/>
      </c>
      <c r="M11" s="138">
        <f>IFERROR(AVERAGE(Attitude_North[Nov]),"")</f>
        <v/>
      </c>
      <c r="N11" s="138">
        <f>IFERROR(AVERAGE(Attitude_North[Dec]),"")</f>
        <v/>
      </c>
      <c r="O11" s="138">
        <f>IFERROR(AVERAGEIF(C11:N11, "&gt;0"),"")</f>
        <v/>
      </c>
      <c r="P11" s="220" t="n"/>
      <c r="Q11" s="179" t="inlineStr">
        <is>
          <t>Other KPI Averages</t>
        </is>
      </c>
      <c r="R11" s="231" t="n"/>
      <c r="S11" s="176" t="inlineStr">
        <is>
          <t>Unsatisfactory</t>
        </is>
      </c>
      <c r="T11" s="176" t="inlineStr">
        <is>
          <t>Needs improvement</t>
        </is>
      </c>
      <c r="U11" s="176" t="inlineStr">
        <is>
          <t>In progress</t>
        </is>
      </c>
      <c r="V11" s="18" t="inlineStr">
        <is>
          <t>Very Good</t>
        </is>
      </c>
      <c r="W11" s="19" t="inlineStr">
        <is>
          <t>Excellent</t>
        </is>
      </c>
      <c r="X11" s="91" t="n"/>
      <c r="Y11" s="91" t="n"/>
      <c r="Z11" s="91" t="n"/>
      <c r="AA11" s="91" t="n"/>
      <c r="AB11" s="220" t="n"/>
      <c r="AC11" s="220" t="n"/>
      <c r="AD11" s="220" t="n"/>
      <c r="AE11" s="220" t="n"/>
      <c r="AF11" s="220" t="n"/>
      <c r="AG11" s="220" t="n"/>
      <c r="AH11" s="220" t="n"/>
      <c r="AI11" s="220" t="n"/>
      <c r="AJ11" s="220" t="n"/>
      <c r="AK11" s="220" t="n"/>
      <c r="AL11" s="220" t="n"/>
      <c r="AM11" s="220" t="n"/>
      <c r="AN11" s="220" t="n"/>
      <c r="AO11" s="220" t="n"/>
      <c r="AP11" s="220" t="n"/>
      <c r="AQ11" s="220" t="n"/>
      <c r="AR11" s="220" t="n"/>
      <c r="AS11" s="220" t="n"/>
      <c r="AT11" s="220" t="n"/>
      <c r="AU11" s="220" t="n"/>
      <c r="AV11" s="220" t="n"/>
      <c r="AW11" s="220" t="n"/>
      <c r="AX11" s="220" t="n"/>
      <c r="AY11" s="220" t="n"/>
      <c r="AZ11" s="220" t="n"/>
      <c r="BA11" s="220" t="n"/>
      <c r="BB11" s="220" t="n"/>
      <c r="BC11" s="220" t="n"/>
      <c r="BD11" s="220" t="n"/>
      <c r="BE11" s="220" t="n"/>
      <c r="BF11" s="220" t="n"/>
      <c r="BG11" s="220" t="n"/>
      <c r="BH11" s="220" t="n"/>
      <c r="BI11" s="220" t="n"/>
      <c r="BJ11" s="220" t="n"/>
      <c r="BK11" s="220" t="n"/>
      <c r="BL11" s="220" t="n"/>
      <c r="BM11" s="220" t="n"/>
      <c r="BN11" s="220" t="n"/>
      <c r="BO11" s="220" t="n"/>
      <c r="BP11" s="220" t="n"/>
    </row>
    <row r="12" ht="14.45" customHeight="1">
      <c r="A12" s="220" t="n"/>
      <c r="B12" s="220" t="n"/>
      <c r="C12" s="94" t="n"/>
      <c r="D12" s="94" t="n"/>
      <c r="E12" s="94" t="n"/>
      <c r="F12" s="94" t="n"/>
      <c r="G12" s="94" t="n"/>
      <c r="H12" s="94" t="n"/>
      <c r="I12" s="94" t="n"/>
      <c r="J12" s="94" t="n"/>
      <c r="K12" s="94" t="n"/>
      <c r="L12" s="94" t="n"/>
      <c r="M12" s="139" t="n"/>
      <c r="N12" s="139" t="n"/>
      <c r="O12" s="139" t="n"/>
      <c r="P12" s="220" t="n"/>
      <c r="Q12" s="234" t="n"/>
      <c r="R12" s="235" t="n"/>
      <c r="S12" s="21" t="inlineStr">
        <is>
          <t>&lt;1.5</t>
        </is>
      </c>
      <c r="T12" s="23" t="inlineStr">
        <is>
          <t>1.5-2.5</t>
        </is>
      </c>
      <c r="U12" s="28" t="inlineStr">
        <is>
          <t>2.5-3.5</t>
        </is>
      </c>
      <c r="V12" s="25" t="inlineStr">
        <is>
          <t>3.5-4.5</t>
        </is>
      </c>
      <c r="W12" s="27" t="inlineStr">
        <is>
          <t>4.5-5</t>
        </is>
      </c>
      <c r="X12" s="91" t="n"/>
      <c r="Y12" s="91" t="n"/>
      <c r="Z12" s="91" t="n"/>
      <c r="AA12" s="91" t="n"/>
      <c r="AB12" s="220" t="n"/>
      <c r="AC12" s="220" t="n"/>
      <c r="AD12" s="220" t="n"/>
      <c r="AE12" s="220" t="n"/>
      <c r="AF12" s="220" t="n"/>
      <c r="AG12" s="220" t="n"/>
      <c r="AH12" s="220" t="n"/>
      <c r="AI12" s="220" t="n"/>
      <c r="AJ12" s="220" t="n"/>
      <c r="AK12" s="220" t="n"/>
      <c r="AL12" s="220" t="n"/>
      <c r="AM12" s="220" t="n"/>
      <c r="AN12" s="220" t="n"/>
      <c r="AO12" s="220" t="n"/>
      <c r="AP12" s="220" t="n"/>
      <c r="AQ12" s="220" t="n"/>
      <c r="AR12" s="220" t="n"/>
      <c r="AS12" s="220" t="n"/>
      <c r="AT12" s="220" t="n"/>
      <c r="AU12" s="220" t="n"/>
      <c r="AV12" s="220" t="n"/>
      <c r="AW12" s="220" t="n"/>
      <c r="AX12" s="220" t="n"/>
      <c r="AY12" s="220" t="n"/>
      <c r="AZ12" s="220" t="n"/>
      <c r="BA12" s="220" t="n"/>
      <c r="BB12" s="220" t="n"/>
      <c r="BC12" s="220" t="n"/>
      <c r="BD12" s="220" t="n"/>
      <c r="BE12" s="220" t="n"/>
      <c r="BF12" s="220" t="n"/>
      <c r="BG12" s="220" t="n"/>
      <c r="BH12" s="220" t="n"/>
      <c r="BI12" s="220" t="n"/>
      <c r="BJ12" s="220" t="n"/>
      <c r="BK12" s="220" t="n"/>
      <c r="BL12" s="220" t="n"/>
      <c r="BM12" s="220" t="n"/>
      <c r="BN12" s="220" t="n"/>
      <c r="BO12" s="220" t="n"/>
      <c r="BP12" s="220" t="n"/>
    </row>
    <row r="13" ht="14.45" customHeight="1">
      <c r="A13" s="220" t="n"/>
      <c r="B13" s="3" t="inlineStr">
        <is>
          <t>Billings</t>
        </is>
      </c>
      <c r="C13" s="133" t="inlineStr">
        <is>
          <t>Jan</t>
        </is>
      </c>
      <c r="D13" s="133" t="inlineStr">
        <is>
          <t>Feb</t>
        </is>
      </c>
      <c r="E13" s="133" t="inlineStr">
        <is>
          <t>Mar</t>
        </is>
      </c>
      <c r="F13" s="133" t="inlineStr">
        <is>
          <t>Apr</t>
        </is>
      </c>
      <c r="G13" s="133" t="inlineStr">
        <is>
          <t>May</t>
        </is>
      </c>
      <c r="H13" s="133" t="inlineStr">
        <is>
          <t>June</t>
        </is>
      </c>
      <c r="I13" s="133" t="inlineStr">
        <is>
          <t>July</t>
        </is>
      </c>
      <c r="J13" s="133" t="inlineStr">
        <is>
          <t>Aug</t>
        </is>
      </c>
      <c r="K13" s="133" t="inlineStr">
        <is>
          <t>Sept</t>
        </is>
      </c>
      <c r="L13" s="133" t="inlineStr">
        <is>
          <t>Oct</t>
        </is>
      </c>
      <c r="M13" s="133" t="inlineStr">
        <is>
          <t>Nov</t>
        </is>
      </c>
      <c r="N13" s="133" t="inlineStr">
        <is>
          <t>Dec</t>
        </is>
      </c>
      <c r="O13" s="133" t="inlineStr">
        <is>
          <t>Average</t>
        </is>
      </c>
      <c r="P13" s="220" t="n"/>
      <c r="Q13" s="220" t="n"/>
      <c r="R13" s="220" t="n"/>
      <c r="S13" s="220" t="n"/>
      <c r="T13" s="220" t="n"/>
      <c r="U13" s="220" t="n"/>
      <c r="V13" s="95" t="n"/>
      <c r="W13" s="91" t="n"/>
      <c r="X13" s="91" t="n"/>
      <c r="Y13" s="91" t="n"/>
      <c r="Z13" s="91" t="n"/>
      <c r="AA13" s="91" t="n"/>
      <c r="AB13" s="220" t="n"/>
      <c r="AC13" s="220" t="n"/>
      <c r="AD13" s="220" t="n"/>
      <c r="AE13" s="220" t="n"/>
      <c r="AF13" s="220" t="n"/>
      <c r="AG13" s="220" t="n"/>
      <c r="AH13" s="220" t="n"/>
      <c r="AI13" s="220" t="n"/>
      <c r="AJ13" s="220" t="n"/>
      <c r="AK13" s="220" t="n"/>
      <c r="AL13" s="220" t="n"/>
      <c r="AM13" s="220" t="n"/>
      <c r="AN13" s="220" t="n"/>
      <c r="AO13" s="220" t="n"/>
      <c r="AP13" s="220" t="n"/>
      <c r="AQ13" s="220" t="n"/>
      <c r="AR13" s="220" t="n"/>
      <c r="AS13" s="220" t="n"/>
      <c r="AT13" s="220" t="n"/>
      <c r="AU13" s="220" t="n"/>
      <c r="AV13" s="220" t="n"/>
      <c r="AW13" s="220" t="n"/>
      <c r="AX13" s="220" t="n"/>
      <c r="AY13" s="220" t="n"/>
      <c r="AZ13" s="220" t="n"/>
      <c r="BA13" s="220" t="n"/>
      <c r="BB13" s="220" t="n"/>
      <c r="BC13" s="220" t="n"/>
      <c r="BD13" s="220" t="n"/>
      <c r="BE13" s="220" t="n"/>
      <c r="BF13" s="220" t="n"/>
      <c r="BG13" s="220" t="n"/>
      <c r="BH13" s="220" t="n"/>
      <c r="BI13" s="220" t="n"/>
      <c r="BJ13" s="220" t="n"/>
      <c r="BK13" s="220" t="n"/>
      <c r="BL13" s="220" t="n"/>
      <c r="BM13" s="220" t="n"/>
      <c r="BN13" s="220" t="n"/>
      <c r="BO13" s="220" t="n"/>
      <c r="BP13" s="220" t="n"/>
    </row>
    <row r="14" ht="14.45" customHeight="1">
      <c r="A14" s="220" t="n"/>
      <c r="B14" s="250" t="inlineStr">
        <is>
          <t>Marco</t>
        </is>
      </c>
      <c r="C14" s="247" t="n"/>
      <c r="D14" s="247" t="n"/>
      <c r="E14" s="247" t="n"/>
      <c r="F14" s="247" t="n"/>
      <c r="G14" s="247" t="n"/>
      <c r="H14" s="247" t="n"/>
      <c r="I14" s="247" t="n"/>
      <c r="J14" s="247" t="n"/>
      <c r="K14" s="247" t="n"/>
      <c r="L14" s="247" t="n"/>
      <c r="M14" s="247" t="n"/>
      <c r="N14" s="247" t="n"/>
      <c r="O14" s="140">
        <f>IFERROR(AVERAGE(Billings_North[[#This Row],[Jan]:[Dec]]),"")</f>
        <v/>
      </c>
      <c r="P14" s="91" t="n"/>
      <c r="Q14" s="91" t="n"/>
      <c r="R14" s="91" t="n"/>
      <c r="S14" s="91" t="n"/>
      <c r="T14" s="91" t="n"/>
      <c r="U14" s="91" t="n"/>
      <c r="V14" s="91" t="n"/>
      <c r="W14" s="91" t="n"/>
      <c r="X14" s="220" t="n"/>
      <c r="Y14" s="220" t="n"/>
      <c r="Z14" s="220" t="n"/>
      <c r="AA14" s="220" t="n"/>
      <c r="AB14" s="220" t="n"/>
      <c r="AC14" s="220" t="n"/>
      <c r="AD14" s="220" t="n"/>
      <c r="AE14" s="220" t="n"/>
      <c r="AF14" s="220" t="n"/>
      <c r="AG14" s="220" t="n"/>
      <c r="AH14" s="220" t="n"/>
      <c r="AI14" s="220" t="n"/>
      <c r="AJ14" s="220" t="n"/>
      <c r="AK14" s="220" t="n"/>
      <c r="AL14" s="220" t="n"/>
      <c r="AM14" s="220" t="n"/>
      <c r="AN14" s="220" t="n"/>
      <c r="AO14" s="220" t="n"/>
      <c r="AP14" s="220" t="n"/>
      <c r="AQ14" s="220" t="n"/>
      <c r="AR14" s="220" t="n"/>
      <c r="AS14" s="220" t="n"/>
      <c r="AT14" s="220" t="n"/>
      <c r="AU14" s="220" t="n"/>
      <c r="AV14" s="220" t="n"/>
      <c r="AW14" s="220" t="n"/>
      <c r="AX14" s="220" t="n"/>
      <c r="AY14" s="220" t="n"/>
      <c r="AZ14" s="220" t="n"/>
      <c r="BA14" s="220" t="n"/>
      <c r="BB14" s="220" t="n"/>
      <c r="BC14" s="220" t="n"/>
      <c r="BD14" s="220" t="n"/>
      <c r="BE14" s="220" t="n"/>
      <c r="BF14" s="220" t="n"/>
      <c r="BG14" s="220" t="n"/>
      <c r="BH14" s="220" t="n"/>
      <c r="BI14" s="220" t="n"/>
      <c r="BJ14" s="220" t="n"/>
      <c r="BK14" s="220" t="n"/>
      <c r="BL14" s="220" t="n"/>
      <c r="BM14" s="220" t="n"/>
      <c r="BN14" s="220" t="n"/>
      <c r="BO14" s="220" t="n"/>
      <c r="BP14" s="220" t="n"/>
    </row>
    <row r="15" ht="14.45" customHeight="1">
      <c r="A15" s="220" t="n"/>
      <c r="B15" s="250" t="inlineStr">
        <is>
          <t>Danny</t>
        </is>
      </c>
      <c r="C15" s="247" t="n"/>
      <c r="D15" s="247" t="n"/>
      <c r="E15" s="247" t="n"/>
      <c r="F15" s="247" t="n"/>
      <c r="G15" s="247" t="n"/>
      <c r="H15" s="247" t="n"/>
      <c r="I15" s="247" t="n"/>
      <c r="J15" s="247" t="n"/>
      <c r="K15" s="247" t="n"/>
      <c r="L15" s="247" t="n"/>
      <c r="M15" s="247" t="n"/>
      <c r="N15" s="247" t="n"/>
      <c r="O15" s="140">
        <f>IFERROR(AVERAGE(Billings_North[[#This Row],[Jan]:[Dec]]),"")</f>
        <v/>
      </c>
      <c r="P15" s="220" t="n"/>
      <c r="Q15" s="191" t="inlineStr">
        <is>
          <t>Billings</t>
        </is>
      </c>
      <c r="R15" s="230" t="n"/>
      <c r="S15" s="230" t="n"/>
      <c r="T15" s="230" t="n"/>
      <c r="U15" s="224" t="n"/>
      <c r="V15" s="220" t="n"/>
      <c r="W15" s="220" t="n"/>
      <c r="X15" s="220" t="n"/>
      <c r="Y15" s="220" t="n"/>
      <c r="Z15" s="220" t="n"/>
      <c r="AA15" s="220" t="n"/>
      <c r="AB15" s="220" t="n"/>
      <c r="AC15" s="96" t="n"/>
      <c r="AD15" s="96" t="n"/>
      <c r="AE15" s="96" t="n"/>
      <c r="AF15" s="96" t="n"/>
      <c r="AG15" s="220" t="n"/>
      <c r="AH15" s="220" t="n"/>
      <c r="AI15" s="220" t="n"/>
      <c r="AJ15" s="220" t="n"/>
      <c r="AK15" s="220" t="n"/>
      <c r="AL15" s="220" t="n"/>
      <c r="AM15" s="220" t="n"/>
      <c r="AN15" s="220" t="n"/>
      <c r="AO15" s="220" t="n"/>
      <c r="AP15" s="220" t="n"/>
      <c r="AQ15" s="220" t="n"/>
      <c r="AR15" s="220" t="n"/>
      <c r="AS15" s="220" t="n"/>
      <c r="AT15" s="220" t="n"/>
      <c r="AU15" s="220" t="n"/>
      <c r="AV15" s="220" t="n"/>
      <c r="AW15" s="220" t="n"/>
      <c r="AX15" s="220" t="n"/>
      <c r="AY15" s="220" t="n"/>
      <c r="AZ15" s="220" t="n"/>
      <c r="BA15" s="220" t="n"/>
      <c r="BB15" s="220" t="n"/>
      <c r="BC15" s="220" t="n"/>
      <c r="BD15" s="220" t="n"/>
      <c r="BE15" s="220" t="n"/>
      <c r="BF15" s="220" t="n"/>
      <c r="BG15" s="220" t="n"/>
      <c r="BH15" s="220" t="n"/>
      <c r="BI15" s="220" t="n"/>
      <c r="BJ15" s="220" t="n"/>
      <c r="BK15" s="220" t="n"/>
      <c r="BL15" s="220" t="n"/>
      <c r="BM15" s="220" t="n"/>
      <c r="BN15" s="220" t="n"/>
      <c r="BO15" s="220" t="n"/>
      <c r="BP15" s="220" t="n"/>
    </row>
    <row r="16" ht="14.45" customHeight="1">
      <c r="A16" s="220" t="n"/>
      <c r="B16" s="250" t="inlineStr">
        <is>
          <t>Alice</t>
        </is>
      </c>
      <c r="C16" s="247" t="n"/>
      <c r="D16" s="247" t="n"/>
      <c r="E16" s="247" t="n"/>
      <c r="F16" s="247" t="n"/>
      <c r="G16" s="247" t="n"/>
      <c r="H16" s="247" t="n"/>
      <c r="I16" s="247" t="n"/>
      <c r="J16" s="247" t="n"/>
      <c r="K16" s="247" t="n"/>
      <c r="L16" s="247" t="n"/>
      <c r="M16" s="247" t="n"/>
      <c r="N16" s="247" t="n"/>
      <c r="O16" s="140">
        <f>IFERROR(AVERAGE(Billings_North[[#This Row],[Jan]:[Dec]]),"")</f>
        <v/>
      </c>
      <c r="P16" s="220" t="n"/>
      <c r="Q16" s="234" t="n"/>
      <c r="R16" s="228" t="n"/>
      <c r="S16" s="228" t="n"/>
      <c r="T16" s="228" t="n"/>
      <c r="U16" s="229" t="n"/>
      <c r="V16" s="220" t="n"/>
      <c r="W16" s="220" t="n"/>
      <c r="X16" s="220" t="n"/>
      <c r="Y16" s="220" t="n"/>
      <c r="Z16" s="220" t="n"/>
      <c r="AA16" s="220" t="n"/>
      <c r="AB16" s="220" t="n"/>
      <c r="AC16" s="96" t="n"/>
      <c r="AD16" s="96" t="n"/>
      <c r="AE16" s="96" t="n"/>
      <c r="AF16" s="96" t="n"/>
      <c r="AG16" s="220" t="n"/>
      <c r="AH16" s="220" t="n"/>
      <c r="AI16" s="220" t="n"/>
      <c r="AJ16" s="220" t="n"/>
      <c r="AK16" s="220" t="n"/>
      <c r="AL16" s="220" t="n"/>
      <c r="AM16" s="220" t="n"/>
      <c r="AN16" s="220" t="n"/>
      <c r="AO16" s="220" t="n"/>
      <c r="AP16" s="220" t="n"/>
      <c r="AQ16" s="220" t="n"/>
      <c r="AR16" s="220" t="n"/>
      <c r="AS16" s="220" t="n"/>
      <c r="AT16" s="220" t="n"/>
      <c r="AU16" s="220" t="n"/>
      <c r="AV16" s="220" t="n"/>
      <c r="AW16" s="220" t="n"/>
      <c r="AX16" s="220" t="n"/>
      <c r="AY16" s="220" t="n"/>
      <c r="AZ16" s="220" t="n"/>
      <c r="BA16" s="220" t="n"/>
      <c r="BB16" s="220" t="n"/>
      <c r="BC16" s="220" t="n"/>
      <c r="BD16" s="220" t="n"/>
      <c r="BE16" s="220" t="n"/>
      <c r="BF16" s="220" t="n"/>
      <c r="BG16" s="220" t="n"/>
      <c r="BH16" s="220" t="n"/>
      <c r="BI16" s="220" t="n"/>
      <c r="BJ16" s="220" t="n"/>
      <c r="BK16" s="220" t="n"/>
      <c r="BL16" s="220" t="n"/>
      <c r="BM16" s="220" t="n"/>
      <c r="BN16" s="220" t="n"/>
      <c r="BO16" s="220" t="n"/>
      <c r="BP16" s="220" t="n"/>
    </row>
    <row r="17">
      <c r="A17" s="220" t="n"/>
      <c r="B17" s="250" t="inlineStr">
        <is>
          <t>April</t>
        </is>
      </c>
      <c r="C17" s="247" t="n"/>
      <c r="D17" s="247" t="n"/>
      <c r="E17" s="247" t="n"/>
      <c r="F17" s="247" t="n"/>
      <c r="G17" s="247" t="n"/>
      <c r="H17" s="247" t="n"/>
      <c r="I17" s="247" t="n"/>
      <c r="J17" s="247" t="n"/>
      <c r="K17" s="247" t="n"/>
      <c r="L17" s="247" t="n"/>
      <c r="M17" s="247" t="n"/>
      <c r="N17" s="247" t="n"/>
      <c r="O17" s="140">
        <f>IFERROR(AVERAGE(Billings_North[[#This Row],[Jan]:[Dec]]),"")</f>
        <v/>
      </c>
      <c r="P17" s="220" t="n"/>
      <c r="Q17" s="8" t="n"/>
      <c r="R17" s="9" t="n"/>
      <c r="S17" s="20" t="inlineStr">
        <is>
          <t>Below</t>
        </is>
      </c>
      <c r="T17" s="20" t="inlineStr">
        <is>
          <t>Good</t>
        </is>
      </c>
      <c r="U17" s="20" t="inlineStr">
        <is>
          <t>Excellent</t>
        </is>
      </c>
      <c r="V17" s="220" t="n"/>
      <c r="W17" s="220" t="n"/>
      <c r="X17" s="220" t="n"/>
      <c r="Y17" s="220" t="n"/>
      <c r="Z17" s="220" t="n"/>
      <c r="AA17" s="220" t="n"/>
      <c r="AB17" s="220" t="n"/>
      <c r="AC17" s="96" t="n"/>
      <c r="AD17" s="96" t="n"/>
      <c r="AE17" s="96" t="n"/>
      <c r="AF17" s="96" t="n"/>
      <c r="AG17" s="220" t="n"/>
      <c r="AH17" s="220" t="n"/>
      <c r="AI17" s="220" t="n"/>
      <c r="AJ17" s="220" t="n"/>
      <c r="AK17" s="220" t="n"/>
      <c r="AL17" s="220" t="n"/>
      <c r="AM17" s="220" t="n"/>
      <c r="AN17" s="220" t="n"/>
      <c r="AO17" s="220" t="n"/>
      <c r="AP17" s="220" t="n"/>
      <c r="AQ17" s="220" t="n"/>
      <c r="AR17" s="220" t="n"/>
      <c r="AS17" s="220" t="n"/>
      <c r="AT17" s="220" t="n"/>
      <c r="AU17" s="220" t="n"/>
      <c r="AV17" s="220" t="n"/>
      <c r="AW17" s="220" t="n"/>
      <c r="AX17" s="220" t="n"/>
      <c r="AY17" s="220" t="n"/>
      <c r="AZ17" s="220" t="n"/>
      <c r="BA17" s="220" t="n"/>
      <c r="BB17" s="220" t="n"/>
      <c r="BC17" s="220" t="n"/>
      <c r="BD17" s="220" t="n"/>
      <c r="BE17" s="220" t="n"/>
      <c r="BF17" s="220" t="n"/>
      <c r="BG17" s="220" t="n"/>
      <c r="BH17" s="220" t="n"/>
      <c r="BI17" s="220" t="n"/>
      <c r="BJ17" s="220" t="n"/>
      <c r="BK17" s="220" t="n"/>
      <c r="BL17" s="220" t="n"/>
      <c r="BM17" s="220" t="n"/>
      <c r="BN17" s="220" t="n"/>
      <c r="BO17" s="220" t="n"/>
      <c r="BP17" s="220" t="n"/>
    </row>
    <row r="18" ht="15" customHeight="1">
      <c r="A18" s="220" t="n"/>
      <c r="B18" s="250" t="inlineStr">
        <is>
          <t>Chris</t>
        </is>
      </c>
      <c r="C18" s="247" t="n"/>
      <c r="D18" s="247" t="n"/>
      <c r="E18" s="247" t="n"/>
      <c r="F18" s="247" t="n"/>
      <c r="G18" s="247" t="n"/>
      <c r="H18" s="247" t="n"/>
      <c r="I18" s="247" t="n"/>
      <c r="J18" s="247" t="n"/>
      <c r="K18" s="247" t="n"/>
      <c r="L18" s="247" t="n"/>
      <c r="M18" s="247" t="n"/>
      <c r="N18" s="247" t="n"/>
      <c r="O18" s="140">
        <f>IFERROR(AVERAGE(Billings_North[[#This Row],[Jan]:[Dec]]),"")</f>
        <v/>
      </c>
      <c r="P18" s="220" t="n"/>
      <c r="Q18" s="176" t="inlineStr">
        <is>
          <t>Grad</t>
        </is>
      </c>
      <c r="R18" s="222" t="n"/>
      <c r="S18" s="22" t="inlineStr">
        <is>
          <t xml:space="preserve">&lt;4.5 </t>
        </is>
      </c>
      <c r="T18" s="24" t="inlineStr">
        <is>
          <t xml:space="preserve">4.5-5 </t>
        </is>
      </c>
      <c r="U18" s="26" t="inlineStr">
        <is>
          <t xml:space="preserve">&gt;5 </t>
        </is>
      </c>
      <c r="V18" s="220" t="n"/>
      <c r="W18" s="220" t="n"/>
      <c r="X18" s="220" t="n"/>
      <c r="Y18" s="220" t="n"/>
      <c r="Z18" s="220" t="n"/>
      <c r="AA18" s="220" t="n"/>
      <c r="AB18" s="220" t="n"/>
      <c r="AC18" s="96" t="n"/>
      <c r="AD18" s="96" t="n"/>
      <c r="AE18" s="96" t="n"/>
      <c r="AF18" s="96" t="n"/>
      <c r="AG18" s="220" t="n"/>
      <c r="AH18" s="220" t="n"/>
      <c r="AI18" s="220" t="n"/>
      <c r="AJ18" s="220" t="n"/>
      <c r="AK18" s="220" t="n"/>
      <c r="AL18" s="220" t="n"/>
      <c r="AM18" s="220" t="n"/>
      <c r="AN18" s="220" t="n"/>
      <c r="AO18" s="220" t="n"/>
      <c r="AP18" s="220" t="n"/>
      <c r="AQ18" s="220" t="n"/>
      <c r="AR18" s="220" t="n"/>
      <c r="AS18" s="220" t="n"/>
      <c r="AT18" s="220" t="n"/>
      <c r="AU18" s="220" t="n"/>
      <c r="AV18" s="220" t="n"/>
      <c r="AW18" s="220" t="n"/>
      <c r="AX18" s="220" t="n"/>
      <c r="AY18" s="220" t="n"/>
      <c r="AZ18" s="220" t="n"/>
      <c r="BA18" s="220" t="n"/>
      <c r="BB18" s="220" t="n"/>
      <c r="BC18" s="220" t="n"/>
      <c r="BD18" s="220" t="n"/>
      <c r="BE18" s="220" t="n"/>
      <c r="BF18" s="220" t="n"/>
      <c r="BG18" s="220" t="n"/>
      <c r="BH18" s="220" t="n"/>
      <c r="BI18" s="220" t="n"/>
      <c r="BJ18" s="220" t="n"/>
      <c r="BK18" s="220" t="n"/>
      <c r="BL18" s="220" t="n"/>
      <c r="BM18" s="220" t="n"/>
      <c r="BN18" s="220" t="n"/>
      <c r="BO18" s="220" t="n"/>
      <c r="BP18" s="220" t="n"/>
    </row>
    <row r="19" ht="15" customHeight="1">
      <c r="A19" s="220" t="n"/>
      <c r="B19" s="250" t="inlineStr">
        <is>
          <t>Emilie</t>
        </is>
      </c>
      <c r="C19" s="247" t="n"/>
      <c r="D19" s="247" t="n"/>
      <c r="E19" s="247" t="n"/>
      <c r="F19" s="247" t="n"/>
      <c r="G19" s="257" t="n"/>
      <c r="H19" s="257" t="n"/>
      <c r="I19" s="257" t="n"/>
      <c r="J19" s="257" t="n"/>
      <c r="K19" s="257" t="n"/>
      <c r="L19" s="257" t="n"/>
      <c r="M19" s="257" t="n"/>
      <c r="N19" s="257" t="n"/>
      <c r="O19" s="141">
        <f>IFERROR(AVERAGE(Billings_North[[#This Row],[May]:[Dec]]),"")</f>
        <v/>
      </c>
      <c r="P19" s="220" t="n"/>
      <c r="Q19" s="176" t="inlineStr">
        <is>
          <t>Clinical Associate</t>
        </is>
      </c>
      <c r="R19" s="222" t="n"/>
      <c r="S19" s="22" t="inlineStr">
        <is>
          <t xml:space="preserve">&lt;5 </t>
        </is>
      </c>
      <c r="T19" s="24" t="inlineStr">
        <is>
          <t xml:space="preserve">5-5.4 </t>
        </is>
      </c>
      <c r="U19" s="26" t="inlineStr">
        <is>
          <t xml:space="preserve">&gt;5.4 </t>
        </is>
      </c>
      <c r="V19" s="220" t="n"/>
      <c r="W19" s="220" t="n"/>
      <c r="X19" s="220" t="n"/>
      <c r="Y19" s="220" t="n"/>
      <c r="Z19" s="220" t="n"/>
      <c r="AA19" s="220" t="n"/>
      <c r="AB19" s="220" t="n"/>
      <c r="AC19" s="96" t="n"/>
      <c r="AD19" s="96" t="n"/>
      <c r="AE19" s="96" t="n"/>
      <c r="AF19" s="96" t="n"/>
      <c r="AG19" s="220" t="n"/>
      <c r="AH19" s="220" t="n"/>
      <c r="AI19" s="220" t="n"/>
      <c r="AJ19" s="220" t="n"/>
      <c r="AK19" s="220" t="n"/>
      <c r="AL19" s="220" t="n"/>
      <c r="AM19" s="220" t="n"/>
      <c r="AN19" s="220" t="n"/>
      <c r="AO19" s="220" t="n"/>
      <c r="AP19" s="220" t="n"/>
      <c r="AQ19" s="220" t="n"/>
      <c r="AR19" s="220" t="n"/>
      <c r="AS19" s="220" t="n"/>
      <c r="AT19" s="220" t="n"/>
      <c r="AU19" s="220" t="n"/>
      <c r="AV19" s="220" t="n"/>
      <c r="AW19" s="220" t="n"/>
      <c r="AX19" s="220" t="n"/>
      <c r="AY19" s="220" t="n"/>
      <c r="AZ19" s="220" t="n"/>
      <c r="BA19" s="220" t="n"/>
      <c r="BB19" s="220" t="n"/>
      <c r="BC19" s="220" t="n"/>
      <c r="BD19" s="220" t="n"/>
      <c r="BE19" s="220" t="n"/>
      <c r="BF19" s="220" t="n"/>
      <c r="BG19" s="220" t="n"/>
      <c r="BH19" s="220" t="n"/>
      <c r="BI19" s="220" t="n"/>
      <c r="BJ19" s="220" t="n"/>
      <c r="BK19" s="220" t="n"/>
      <c r="BL19" s="220" t="n"/>
      <c r="BM19" s="220" t="n"/>
      <c r="BN19" s="220" t="n"/>
      <c r="BO19" s="220" t="n"/>
      <c r="BP19" s="220" t="n"/>
    </row>
    <row r="20">
      <c r="A20" s="220" t="n"/>
      <c r="B20" s="250" t="inlineStr">
        <is>
          <t>Eva</t>
        </is>
      </c>
      <c r="C20" s="247" t="n"/>
      <c r="D20" s="247" t="n"/>
      <c r="E20" s="247" t="n"/>
      <c r="F20" s="247" t="n"/>
      <c r="G20" s="257" t="n"/>
      <c r="H20" s="257" t="n"/>
      <c r="I20" s="257" t="n"/>
      <c r="J20" s="257" t="n"/>
      <c r="K20" s="257" t="n"/>
      <c r="L20" s="257" t="n"/>
      <c r="M20" s="257" t="n"/>
      <c r="N20" s="257" t="n"/>
      <c r="O20" s="141">
        <f>IFERROR(AVERAGE(Billings_North[[#This Row],[May]:[Dec]]),"")</f>
        <v/>
      </c>
      <c r="P20" s="220" t="n"/>
      <c r="Q20" s="176" t="inlineStr">
        <is>
          <t>Senior</t>
        </is>
      </c>
      <c r="R20" s="222" t="n"/>
      <c r="S20" s="22" t="inlineStr">
        <is>
          <t xml:space="preserve">&lt;5.4 </t>
        </is>
      </c>
      <c r="T20" s="24" t="inlineStr">
        <is>
          <t xml:space="preserve">5.4-5.7 </t>
        </is>
      </c>
      <c r="U20" s="26" t="inlineStr">
        <is>
          <t xml:space="preserve">&gt;5.7 </t>
        </is>
      </c>
      <c r="V20" s="220" t="n"/>
      <c r="W20" s="220" t="n"/>
      <c r="X20" s="220" t="n"/>
      <c r="Y20" s="220" t="n"/>
      <c r="Z20" s="220" t="n"/>
      <c r="AA20" s="220" t="n"/>
      <c r="AB20" s="220" t="n"/>
      <c r="AC20" s="96" t="n"/>
      <c r="AD20" s="96" t="n"/>
      <c r="AE20" s="96" t="n"/>
      <c r="AF20" s="96" t="n"/>
      <c r="AG20" s="220" t="n"/>
      <c r="AH20" s="220" t="n"/>
      <c r="AI20" s="220" t="n"/>
      <c r="AJ20" s="220" t="n"/>
      <c r="AK20" s="220" t="n"/>
      <c r="AL20" s="220" t="n"/>
      <c r="AM20" s="220" t="n"/>
      <c r="AN20" s="220" t="n"/>
      <c r="AO20" s="220" t="n"/>
      <c r="AP20" s="220" t="n"/>
      <c r="AQ20" s="220" t="n"/>
      <c r="AR20" s="220" t="n"/>
      <c r="AS20" s="220" t="n"/>
      <c r="AT20" s="220" t="n"/>
      <c r="AU20" s="220" t="n"/>
      <c r="AV20" s="220" t="n"/>
      <c r="AW20" s="220" t="n"/>
      <c r="AX20" s="220" t="n"/>
      <c r="AY20" s="220" t="n"/>
      <c r="AZ20" s="220" t="n"/>
      <c r="BA20" s="220" t="n"/>
      <c r="BB20" s="220" t="n"/>
      <c r="BC20" s="220" t="n"/>
      <c r="BD20" s="220" t="n"/>
      <c r="BE20" s="220" t="n"/>
      <c r="BF20" s="220" t="n"/>
      <c r="BG20" s="220" t="n"/>
      <c r="BH20" s="220" t="n"/>
      <c r="BI20" s="220" t="n"/>
      <c r="BJ20" s="220" t="n"/>
      <c r="BK20" s="220" t="n"/>
      <c r="BL20" s="220" t="n"/>
      <c r="BM20" s="220" t="n"/>
      <c r="BN20" s="220" t="n"/>
      <c r="BO20" s="220" t="n"/>
      <c r="BP20" s="220" t="n"/>
    </row>
    <row r="21">
      <c r="A21" s="220" t="n"/>
      <c r="B21" s="258" t="inlineStr">
        <is>
          <t>Jackson</t>
        </is>
      </c>
      <c r="C21" s="247" t="n"/>
      <c r="D21" s="247" t="n"/>
      <c r="E21" s="247" t="n"/>
      <c r="F21" s="247" t="n"/>
      <c r="G21" s="247" t="n"/>
      <c r="H21" s="247" t="n"/>
      <c r="I21" s="247" t="n"/>
      <c r="J21" s="247" t="n"/>
      <c r="K21" s="247" t="n"/>
      <c r="L21" s="247" t="n"/>
      <c r="M21" s="247" t="n"/>
      <c r="N21" s="247" t="n"/>
      <c r="O21" s="140">
        <f>IFERROR(AVERAGE(Billings_North[[#This Row],[Jan]:[Dec]]),"")</f>
        <v/>
      </c>
      <c r="P21" s="220" t="n"/>
      <c r="Q21" s="220" t="n"/>
      <c r="R21" s="220" t="n"/>
      <c r="S21" s="220" t="n"/>
      <c r="T21" s="220" t="n"/>
      <c r="U21" s="220" t="n"/>
      <c r="V21" s="220" t="n"/>
      <c r="W21" s="220" t="n"/>
      <c r="X21" s="220" t="n"/>
      <c r="Y21" s="220" t="n"/>
      <c r="Z21" s="220" t="n"/>
      <c r="AA21" s="220" t="n"/>
      <c r="AB21" s="220" t="n"/>
      <c r="AC21" s="96" t="n"/>
      <c r="AD21" s="96" t="n"/>
      <c r="AE21" s="96" t="n"/>
      <c r="AF21" s="96" t="n"/>
      <c r="AG21" s="220" t="n"/>
      <c r="AH21" s="220" t="n"/>
      <c r="AI21" s="220" t="n"/>
      <c r="AJ21" s="220" t="n"/>
      <c r="AK21" s="220" t="n"/>
      <c r="AL21" s="220" t="n"/>
      <c r="AM21" s="220" t="n"/>
      <c r="AN21" s="220" t="n"/>
      <c r="AO21" s="220" t="n"/>
      <c r="AP21" s="220" t="n"/>
      <c r="AQ21" s="220" t="n"/>
      <c r="AR21" s="220" t="n"/>
      <c r="AS21" s="220" t="n"/>
      <c r="AT21" s="220" t="n"/>
      <c r="AU21" s="220" t="n"/>
      <c r="AV21" s="220" t="n"/>
      <c r="AW21" s="220" t="n"/>
      <c r="AX21" s="220" t="n"/>
      <c r="AY21" s="220" t="n"/>
      <c r="AZ21" s="220" t="n"/>
      <c r="BA21" s="220" t="n"/>
      <c r="BB21" s="220" t="n"/>
      <c r="BC21" s="220" t="n"/>
      <c r="BD21" s="220" t="n"/>
      <c r="BE21" s="220" t="n"/>
      <c r="BF21" s="220" t="n"/>
      <c r="BG21" s="220" t="n"/>
      <c r="BH21" s="220" t="n"/>
      <c r="BI21" s="220" t="n"/>
      <c r="BJ21" s="220" t="n"/>
      <c r="BK21" s="220" t="n"/>
      <c r="BL21" s="220" t="n"/>
      <c r="BM21" s="220" t="n"/>
      <c r="BN21" s="220" t="n"/>
      <c r="BO21" s="220" t="n"/>
      <c r="BP21" s="220" t="n"/>
    </row>
    <row r="22">
      <c r="A22" s="220" t="n"/>
      <c r="B22" s="250" t="inlineStr">
        <is>
          <t>Jay</t>
        </is>
      </c>
      <c r="C22" s="247" t="n"/>
      <c r="D22" s="247" t="n"/>
      <c r="E22" s="247" t="n"/>
      <c r="F22" s="247" t="n"/>
      <c r="G22" s="247" t="n"/>
      <c r="H22" s="247" t="n"/>
      <c r="I22" s="247" t="n"/>
      <c r="J22" s="247" t="n"/>
      <c r="K22" s="247" t="n"/>
      <c r="L22" s="247" t="n"/>
      <c r="M22" s="247" t="n"/>
      <c r="N22" s="247" t="n"/>
      <c r="O22" s="140">
        <f>IFERROR(AVERAGE(Billings_North[[#This Row],[Jan]:[Dec]]),"")</f>
        <v/>
      </c>
      <c r="P22" s="220" t="n"/>
      <c r="Q22" s="91" t="n"/>
      <c r="R22" s="91" t="n"/>
      <c r="S22" s="91" t="n"/>
      <c r="T22" s="91" t="n"/>
      <c r="U22" s="91" t="n"/>
      <c r="V22" s="91" t="n"/>
      <c r="W22" s="91" t="n"/>
      <c r="X22" s="220" t="n"/>
      <c r="Y22" s="220" t="n"/>
      <c r="Z22" s="220" t="n"/>
      <c r="AA22" s="220" t="n"/>
      <c r="AB22" s="220" t="n"/>
      <c r="AC22" s="220" t="n"/>
      <c r="AD22" s="220" t="n"/>
      <c r="AE22" s="220" t="n"/>
      <c r="AF22" s="220" t="n"/>
      <c r="AG22" s="220" t="n"/>
      <c r="AH22" s="220" t="n"/>
      <c r="AI22" s="220" t="n"/>
      <c r="AJ22" s="220" t="n"/>
      <c r="AK22" s="220" t="n"/>
      <c r="AL22" s="220" t="n"/>
      <c r="AM22" s="220" t="n"/>
      <c r="AN22" s="220" t="n"/>
      <c r="AO22" s="220" t="n"/>
      <c r="AP22" s="220" t="n"/>
      <c r="AQ22" s="220" t="n"/>
      <c r="AR22" s="220" t="n"/>
      <c r="AS22" s="220" t="n"/>
      <c r="AT22" s="220" t="n"/>
      <c r="AU22" s="220" t="n"/>
      <c r="AV22" s="220" t="n"/>
      <c r="AW22" s="220" t="n"/>
      <c r="AX22" s="220" t="n"/>
      <c r="AY22" s="220" t="n"/>
      <c r="AZ22" s="220" t="n"/>
      <c r="BA22" s="220" t="n"/>
      <c r="BB22" s="220" t="n"/>
      <c r="BC22" s="220" t="n"/>
      <c r="BD22" s="220" t="n"/>
      <c r="BE22" s="220" t="n"/>
      <c r="BF22" s="220" t="n"/>
      <c r="BG22" s="220" t="n"/>
      <c r="BH22" s="220" t="n"/>
      <c r="BI22" s="220" t="n"/>
      <c r="BJ22" s="220" t="n"/>
      <c r="BK22" s="220" t="n"/>
      <c r="BL22" s="220" t="n"/>
      <c r="BM22" s="220" t="n"/>
      <c r="BN22" s="220" t="n"/>
      <c r="BO22" s="220" t="n"/>
      <c r="BP22" s="220" t="n"/>
    </row>
    <row r="23">
      <c r="A23" s="220" t="n"/>
      <c r="B23" s="250" t="inlineStr">
        <is>
          <t>Jaymee</t>
        </is>
      </c>
      <c r="C23" s="247" t="n"/>
      <c r="D23" s="247" t="n"/>
      <c r="E23" s="247" t="n"/>
      <c r="F23" s="247" t="n"/>
      <c r="G23" s="247" t="n"/>
      <c r="H23" s="247" t="n"/>
      <c r="I23" s="247" t="n"/>
      <c r="J23" s="247" t="n"/>
      <c r="K23" s="247" t="n"/>
      <c r="L23" s="247" t="n"/>
      <c r="M23" s="247" t="n"/>
      <c r="N23" s="247" t="n"/>
      <c r="O23" s="141">
        <f>IFERROR(AVERAGE(Billings_North[[#This Row],[May]:[Dec]]),"")</f>
        <v/>
      </c>
      <c r="P23" s="220" t="n"/>
      <c r="Q23" s="202" t="inlineStr">
        <is>
          <t>Ceased Services</t>
        </is>
      </c>
      <c r="R23" s="243" t="n"/>
      <c r="S23" s="243" t="n"/>
      <c r="T23" s="243" t="n"/>
      <c r="U23" s="244" t="n"/>
      <c r="V23" s="91" t="n"/>
      <c r="W23" s="91" t="n"/>
      <c r="X23" s="91" t="n"/>
      <c r="Y23" s="91" t="n"/>
      <c r="Z23" s="91" t="n"/>
      <c r="AA23" s="91" t="n"/>
      <c r="AB23" s="96" t="n"/>
      <c r="AC23" s="220" t="n"/>
      <c r="AD23" s="220" t="n"/>
      <c r="AE23" s="220" t="n"/>
      <c r="AF23" s="220" t="n"/>
      <c r="AG23" s="220" t="n"/>
      <c r="AH23" s="220" t="n"/>
      <c r="AI23" s="220" t="n"/>
      <c r="AJ23" s="220" t="n"/>
      <c r="AK23" s="220" t="n"/>
      <c r="AL23" s="220" t="n"/>
      <c r="AM23" s="220" t="n"/>
      <c r="AN23" s="220" t="n"/>
      <c r="AO23" s="220" t="n"/>
      <c r="AP23" s="220" t="n"/>
      <c r="AQ23" s="220" t="n"/>
      <c r="AR23" s="220" t="n"/>
      <c r="AS23" s="220" t="n"/>
      <c r="AT23" s="220" t="n"/>
      <c r="AU23" s="220" t="n"/>
      <c r="AV23" s="220" t="n"/>
      <c r="AW23" s="220" t="n"/>
      <c r="AX23" s="220" t="n"/>
      <c r="AY23" s="220" t="n"/>
      <c r="AZ23" s="220" t="n"/>
      <c r="BA23" s="220" t="n"/>
      <c r="BB23" s="220" t="n"/>
      <c r="BC23" s="220" t="n"/>
      <c r="BD23" s="220" t="n"/>
      <c r="BE23" s="220" t="n"/>
      <c r="BF23" s="220" t="n"/>
      <c r="BG23" s="220" t="n"/>
      <c r="BH23" s="220" t="n"/>
      <c r="BI23" s="220" t="n"/>
      <c r="BJ23" s="220" t="n"/>
      <c r="BK23" s="220" t="n"/>
      <c r="BL23" s="220" t="n"/>
      <c r="BM23" s="220" t="n"/>
      <c r="BN23" s="220" t="n"/>
      <c r="BO23" s="220" t="n"/>
      <c r="BP23" s="220" t="n"/>
    </row>
    <row r="24" ht="14.45" customHeight="1">
      <c r="A24" s="220" t="n"/>
      <c r="B24" s="220" t="n"/>
      <c r="C24" s="94" t="n"/>
      <c r="D24" s="94" t="n"/>
      <c r="E24" s="94" t="n"/>
      <c r="F24" s="94" t="n"/>
      <c r="G24" s="94" t="n"/>
      <c r="H24" s="94" t="n"/>
      <c r="I24" s="94" t="n"/>
      <c r="J24" s="94" t="n"/>
      <c r="K24" s="142" t="n"/>
      <c r="L24" s="94" t="n"/>
      <c r="M24" s="139" t="n"/>
      <c r="N24" s="139" t="n"/>
      <c r="O24" s="139" t="n"/>
      <c r="P24" s="91" t="n"/>
      <c r="Q24" s="204" t="inlineStr">
        <is>
          <t xml:space="preserve"> Ceased Clients ÷ Active Clients (excluding respite &amp; deceased)</t>
        </is>
      </c>
      <c r="R24" s="236" t="n"/>
      <c r="S24" s="236" t="n"/>
      <c r="T24" s="236" t="n"/>
      <c r="U24" s="237" t="n"/>
      <c r="V24" s="91" t="n"/>
      <c r="W24" s="91" t="n"/>
      <c r="X24" s="91" t="n"/>
      <c r="Y24" s="91" t="n"/>
      <c r="Z24" s="91" t="n"/>
      <c r="AA24" s="91" t="n"/>
      <c r="AB24" s="96" t="n"/>
      <c r="AC24" s="220" t="n"/>
      <c r="AD24" s="220" t="n"/>
      <c r="AE24" s="220" t="n"/>
      <c r="AF24" s="220" t="n"/>
      <c r="AG24" s="220" t="n"/>
      <c r="AH24" s="220" t="n"/>
      <c r="AI24" s="220" t="n"/>
      <c r="AJ24" s="220" t="n"/>
      <c r="AK24" s="220" t="n"/>
      <c r="AL24" s="220" t="n"/>
      <c r="AM24" s="220" t="n"/>
      <c r="AN24" s="220" t="n"/>
      <c r="AO24" s="220" t="n"/>
      <c r="AP24" s="220" t="n"/>
      <c r="AQ24" s="220" t="n"/>
      <c r="AR24" s="220" t="n"/>
      <c r="AS24" s="220" t="n"/>
      <c r="AT24" s="220" t="n"/>
      <c r="AU24" s="220" t="n"/>
      <c r="AV24" s="220" t="n"/>
      <c r="AW24" s="220" t="n"/>
      <c r="AX24" s="220" t="n"/>
      <c r="AY24" s="220" t="n"/>
      <c r="AZ24" s="220" t="n"/>
      <c r="BA24" s="220" t="n"/>
      <c r="BB24" s="220" t="n"/>
      <c r="BC24" s="220" t="n"/>
      <c r="BD24" s="220" t="n"/>
      <c r="BE24" s="220" t="n"/>
      <c r="BF24" s="220" t="n"/>
      <c r="BG24" s="220" t="n"/>
      <c r="BH24" s="220" t="n"/>
      <c r="BI24" s="220" t="n"/>
      <c r="BJ24" s="220" t="n"/>
      <c r="BK24" s="220" t="n"/>
      <c r="BL24" s="220" t="n"/>
      <c r="BM24" s="220" t="n"/>
      <c r="BN24" s="220" t="n"/>
      <c r="BO24" s="220" t="n"/>
      <c r="BP24" s="220" t="n"/>
    </row>
    <row r="25" ht="14.45" customHeight="1">
      <c r="A25" s="220" t="n"/>
      <c r="B25" s="88" t="inlineStr">
        <is>
          <t>Ceased Services</t>
        </is>
      </c>
      <c r="C25" s="133" t="inlineStr">
        <is>
          <t>Jan</t>
        </is>
      </c>
      <c r="D25" s="133" t="inlineStr">
        <is>
          <t>Feb</t>
        </is>
      </c>
      <c r="E25" s="133" t="inlineStr">
        <is>
          <t>Mar</t>
        </is>
      </c>
      <c r="F25" s="133" t="inlineStr">
        <is>
          <t>Apr</t>
        </is>
      </c>
      <c r="G25" s="133" t="inlineStr">
        <is>
          <t>May</t>
        </is>
      </c>
      <c r="H25" s="133" t="inlineStr">
        <is>
          <t>June</t>
        </is>
      </c>
      <c r="I25" s="133" t="inlineStr">
        <is>
          <t>July</t>
        </is>
      </c>
      <c r="J25" s="133" t="inlineStr">
        <is>
          <t>Aug</t>
        </is>
      </c>
      <c r="K25" s="133" t="inlineStr">
        <is>
          <t>Sept</t>
        </is>
      </c>
      <c r="L25" s="133" t="inlineStr">
        <is>
          <t>Oct</t>
        </is>
      </c>
      <c r="M25" s="133" t="inlineStr">
        <is>
          <t>Nov</t>
        </is>
      </c>
      <c r="N25" s="133" t="inlineStr">
        <is>
          <t>Dec</t>
        </is>
      </c>
      <c r="O25" s="133" t="inlineStr">
        <is>
          <t>Average</t>
        </is>
      </c>
      <c r="P25" s="220" t="n"/>
      <c r="Q25" s="241" t="n"/>
      <c r="U25" s="226" t="n"/>
      <c r="V25" s="91" t="n"/>
      <c r="W25" s="91" t="n"/>
      <c r="X25" s="91" t="n"/>
      <c r="Y25" s="91" t="n"/>
      <c r="Z25" s="91" t="n"/>
      <c r="AA25" s="220" t="n"/>
      <c r="AB25" s="220" t="n"/>
      <c r="AC25" s="220" t="n"/>
      <c r="AD25" s="220" t="n"/>
      <c r="AE25" s="220" t="n"/>
      <c r="AF25" s="220" t="n"/>
      <c r="AG25" s="220" t="n"/>
      <c r="AH25" s="220" t="n"/>
      <c r="AI25" s="220" t="n"/>
      <c r="AJ25" s="220" t="n"/>
      <c r="AK25" s="220" t="n"/>
      <c r="AL25" s="220" t="n"/>
      <c r="AM25" s="220" t="n"/>
      <c r="AN25" s="220" t="n"/>
      <c r="AO25" s="220" t="n"/>
      <c r="AP25" s="220" t="n"/>
      <c r="AQ25" s="220" t="n"/>
      <c r="AR25" s="220" t="n"/>
      <c r="AS25" s="220" t="n"/>
      <c r="AT25" s="220" t="n"/>
      <c r="AU25" s="220" t="n"/>
      <c r="AV25" s="220" t="n"/>
      <c r="AW25" s="220" t="n"/>
      <c r="AX25" s="220" t="n"/>
      <c r="AY25" s="220" t="n"/>
      <c r="AZ25" s="220" t="n"/>
      <c r="BA25" s="220" t="n"/>
      <c r="BB25" s="220" t="n"/>
      <c r="BC25" s="220" t="n"/>
      <c r="BD25" s="220" t="n"/>
      <c r="BE25" s="220" t="n"/>
      <c r="BF25" s="220" t="n"/>
      <c r="BG25" s="220" t="n"/>
      <c r="BH25" s="220" t="n"/>
      <c r="BI25" s="220" t="n"/>
      <c r="BJ25" s="220" t="n"/>
      <c r="BK25" s="220" t="n"/>
      <c r="BL25" s="220" t="n"/>
      <c r="BM25" s="220" t="n"/>
      <c r="BN25" s="220" t="n"/>
      <c r="BO25" s="220" t="n"/>
      <c r="BP25" s="220" t="n"/>
    </row>
    <row r="26" ht="14.45" customHeight="1">
      <c r="A26" s="220" t="n"/>
      <c r="B26" s="250" t="inlineStr">
        <is>
          <t>Marco</t>
        </is>
      </c>
      <c r="C26" s="251" t="n"/>
      <c r="D26" s="251" t="n"/>
      <c r="E26" s="251" t="n"/>
      <c r="F26" s="251" t="n"/>
      <c r="G26" s="251" t="n"/>
      <c r="H26" s="251" t="n"/>
      <c r="I26" s="251" t="n"/>
      <c r="J26" s="251" t="n"/>
      <c r="K26" s="251" t="n"/>
      <c r="L26" s="251" t="n"/>
      <c r="M26" s="251" t="n"/>
      <c r="N26" s="251" t="n"/>
      <c r="O26" s="143">
        <f>IFERROR(AVERAGE(Ceased_North[[#This Row],[Jan]:[Dec]]),"")</f>
        <v/>
      </c>
      <c r="P26" s="220" t="n"/>
      <c r="Q26" s="178" t="inlineStr">
        <is>
          <t>&lt;2.5</t>
        </is>
      </c>
      <c r="R26" s="226" t="n"/>
      <c r="S26" s="186" t="inlineStr">
        <is>
          <t>Excellent</t>
        </is>
      </c>
      <c r="T26" s="236" t="n"/>
      <c r="U26" s="237" t="n"/>
      <c r="V26" s="91" t="n"/>
      <c r="W26" s="91" t="n"/>
      <c r="X26" s="91" t="n"/>
      <c r="Y26" s="91" t="n"/>
      <c r="Z26" s="91" t="n"/>
      <c r="AA26" s="91" t="n"/>
      <c r="AB26" s="91" t="n"/>
      <c r="AC26" s="91" t="n"/>
      <c r="AD26" s="91" t="n"/>
      <c r="AE26" s="91" t="n"/>
      <c r="AF26" s="220" t="n"/>
      <c r="AG26" s="220" t="n"/>
      <c r="AH26" s="220" t="n"/>
      <c r="AI26" s="220" t="n"/>
      <c r="AJ26" s="220" t="n"/>
      <c r="AK26" s="220" t="n"/>
      <c r="AL26" s="220" t="n"/>
      <c r="AM26" s="220" t="n"/>
      <c r="AN26" s="220" t="n"/>
      <c r="AO26" s="220" t="n"/>
      <c r="AP26" s="220" t="n"/>
      <c r="AQ26" s="220" t="n"/>
      <c r="AR26" s="220" t="n"/>
      <c r="AS26" s="220" t="n"/>
      <c r="AT26" s="220" t="n"/>
      <c r="AU26" s="220" t="n"/>
      <c r="AV26" s="220" t="n"/>
      <c r="AW26" s="220" t="n"/>
      <c r="AX26" s="220" t="n"/>
      <c r="AY26" s="220" t="n"/>
      <c r="AZ26" s="220" t="n"/>
      <c r="BA26" s="220" t="n"/>
      <c r="BB26" s="220" t="n"/>
      <c r="BC26" s="220" t="n"/>
      <c r="BD26" s="220" t="n"/>
      <c r="BE26" s="220" t="n"/>
      <c r="BF26" s="220" t="n"/>
      <c r="BG26" s="220" t="n"/>
      <c r="BH26" s="220" t="n"/>
      <c r="BI26" s="220" t="n"/>
      <c r="BJ26" s="220" t="n"/>
      <c r="BK26" s="220" t="n"/>
      <c r="BL26" s="220" t="n"/>
      <c r="BM26" s="220" t="n"/>
      <c r="BN26" s="220" t="n"/>
      <c r="BO26" s="220" t="n"/>
      <c r="BP26" s="220" t="n"/>
    </row>
    <row r="27">
      <c r="A27" s="220" t="n"/>
      <c r="B27" s="250" t="inlineStr">
        <is>
          <t>Danny</t>
        </is>
      </c>
      <c r="C27" s="251" t="n"/>
      <c r="D27" s="251" t="n"/>
      <c r="E27" s="251" t="n"/>
      <c r="F27" s="251" t="n"/>
      <c r="G27" s="251" t="n"/>
      <c r="H27" s="251" t="n"/>
      <c r="I27" s="251" t="n"/>
      <c r="J27" s="251" t="n"/>
      <c r="K27" s="251" t="n"/>
      <c r="L27" s="251" t="n"/>
      <c r="M27" s="251" t="n"/>
      <c r="N27" s="251" t="n"/>
      <c r="O27" s="143">
        <f>IFERROR(AVERAGE(Ceased_North[[#This Row],[Jan]:[Dec]]),"")</f>
        <v/>
      </c>
      <c r="P27" s="220" t="n"/>
      <c r="Q27" s="178" t="inlineStr">
        <is>
          <t>2.5-4</t>
        </is>
      </c>
      <c r="R27" s="226" t="n"/>
      <c r="S27" s="195" t="inlineStr">
        <is>
          <t>Good</t>
        </is>
      </c>
      <c r="U27" s="226" t="n"/>
      <c r="V27" s="91" t="n"/>
      <c r="W27" s="91" t="n"/>
      <c r="X27" s="91" t="n"/>
      <c r="Y27" s="91" t="n"/>
      <c r="Z27" s="91" t="n"/>
      <c r="AA27" s="91" t="n"/>
      <c r="AB27" s="91" t="n"/>
      <c r="AC27" s="91" t="n"/>
      <c r="AD27" s="91" t="n"/>
      <c r="AE27" s="91" t="n"/>
      <c r="AF27" s="220" t="n"/>
      <c r="AG27" s="220" t="n"/>
      <c r="AH27" s="220" t="n"/>
      <c r="AI27" s="220" t="n"/>
      <c r="AJ27" s="220" t="n"/>
      <c r="AK27" s="220" t="n"/>
      <c r="AL27" s="220" t="n"/>
      <c r="AM27" s="220" t="n"/>
      <c r="AN27" s="220" t="n"/>
      <c r="AO27" s="220" t="n"/>
      <c r="AP27" s="220" t="n"/>
      <c r="AQ27" s="220" t="n"/>
      <c r="AR27" s="220" t="n"/>
      <c r="AS27" s="220" t="n"/>
      <c r="AT27" s="220" t="n"/>
      <c r="AU27" s="220" t="n"/>
      <c r="AV27" s="220" t="n"/>
      <c r="AW27" s="220" t="n"/>
      <c r="AX27" s="220" t="n"/>
      <c r="AY27" s="220" t="n"/>
      <c r="AZ27" s="220" t="n"/>
      <c r="BA27" s="220" t="n"/>
      <c r="BB27" s="220" t="n"/>
      <c r="BC27" s="220" t="n"/>
      <c r="BD27" s="220" t="n"/>
      <c r="BE27" s="220" t="n"/>
      <c r="BF27" s="220" t="n"/>
      <c r="BG27" s="220" t="n"/>
      <c r="BH27" s="220" t="n"/>
      <c r="BI27" s="220" t="n"/>
      <c r="BJ27" s="220" t="n"/>
      <c r="BK27" s="220" t="n"/>
      <c r="BL27" s="220" t="n"/>
      <c r="BM27" s="220" t="n"/>
      <c r="BN27" s="220" t="n"/>
      <c r="BO27" s="220" t="n"/>
      <c r="BP27" s="220" t="n"/>
    </row>
    <row r="28">
      <c r="A28" s="220" t="n"/>
      <c r="B28" s="250" t="inlineStr">
        <is>
          <t>Alice</t>
        </is>
      </c>
      <c r="C28" s="251" t="n"/>
      <c r="D28" s="251" t="n"/>
      <c r="E28" s="251" t="n"/>
      <c r="F28" s="251" t="n"/>
      <c r="G28" s="251" t="n"/>
      <c r="H28" s="251" t="n"/>
      <c r="I28" s="251" t="n"/>
      <c r="J28" s="251" t="n"/>
      <c r="K28" s="251" t="n"/>
      <c r="L28" s="251" t="n"/>
      <c r="M28" s="251" t="n"/>
      <c r="N28" s="251" t="n"/>
      <c r="O28" s="143">
        <f>IFERROR(AVERAGE(Ceased_North[[#This Row],[Jan]:[Dec]]),"")</f>
        <v/>
      </c>
      <c r="P28" s="220" t="n"/>
      <c r="Q28" s="189" t="inlineStr">
        <is>
          <t>&gt;4</t>
        </is>
      </c>
      <c r="R28" s="229" t="n"/>
      <c r="S28" s="193" t="inlineStr">
        <is>
          <t>Below</t>
        </is>
      </c>
      <c r="T28" s="228" t="n"/>
      <c r="U28" s="229" t="n"/>
      <c r="V28" s="13" t="n"/>
      <c r="W28" s="91" t="n"/>
      <c r="X28" s="91" t="n"/>
      <c r="Y28" s="91" t="n"/>
      <c r="Z28" s="91" t="n"/>
      <c r="AA28" s="91" t="n"/>
      <c r="AB28" s="96" t="n"/>
      <c r="AC28" s="91" t="n"/>
      <c r="AD28" s="91" t="n"/>
      <c r="AE28" s="91" t="n"/>
      <c r="AF28" s="91" t="n"/>
      <c r="AG28" s="91" t="n"/>
      <c r="AH28" s="220" t="n"/>
      <c r="AI28" s="220" t="n"/>
      <c r="AJ28" s="220" t="n"/>
      <c r="AK28" s="220" t="n"/>
      <c r="AL28" s="220" t="n"/>
      <c r="AM28" s="220" t="n"/>
      <c r="AN28" s="220" t="n"/>
      <c r="AO28" s="220" t="n"/>
      <c r="AP28" s="220" t="n"/>
      <c r="AQ28" s="220" t="n"/>
      <c r="AR28" s="220" t="n"/>
      <c r="AS28" s="220" t="n"/>
      <c r="AT28" s="220" t="n"/>
      <c r="AU28" s="220" t="n"/>
      <c r="AV28" s="220" t="n"/>
      <c r="AW28" s="220" t="n"/>
      <c r="AX28" s="220" t="n"/>
      <c r="AY28" s="220" t="n"/>
      <c r="AZ28" s="220" t="n"/>
      <c r="BA28" s="220" t="n"/>
      <c r="BB28" s="220" t="n"/>
      <c r="BC28" s="220" t="n"/>
      <c r="BD28" s="220" t="n"/>
      <c r="BE28" s="220" t="n"/>
      <c r="BF28" s="220" t="n"/>
      <c r="BG28" s="220" t="n"/>
      <c r="BH28" s="220" t="n"/>
      <c r="BI28" s="220" t="n"/>
      <c r="BJ28" s="220" t="n"/>
      <c r="BK28" s="220" t="n"/>
      <c r="BL28" s="220" t="n"/>
      <c r="BM28" s="220" t="n"/>
      <c r="BN28" s="220" t="n"/>
      <c r="BO28" s="220" t="n"/>
      <c r="BP28" s="220" t="n"/>
    </row>
    <row r="29" ht="14.45" customHeight="1">
      <c r="A29" s="220" t="n"/>
      <c r="B29" s="250" t="inlineStr">
        <is>
          <t>April</t>
        </is>
      </c>
      <c r="C29" s="251" t="n"/>
      <c r="D29" s="251" t="n"/>
      <c r="E29" s="251" t="n"/>
      <c r="F29" s="251" t="n"/>
      <c r="G29" s="251" t="n"/>
      <c r="H29" s="251" t="n"/>
      <c r="I29" s="251" t="n"/>
      <c r="J29" s="251" t="n"/>
      <c r="K29" s="251" t="n"/>
      <c r="L29" s="251" t="n"/>
      <c r="M29" s="251" t="n"/>
      <c r="N29" s="251" t="n"/>
      <c r="O29" s="143">
        <f>IFERROR(AVERAGE(Ceased_North[[#This Row],[Jan]:[Dec]]),"")</f>
        <v/>
      </c>
      <c r="P29" s="220" t="n"/>
      <c r="Q29" s="91" t="n"/>
      <c r="R29" s="91" t="n"/>
      <c r="S29" s="91" t="n"/>
      <c r="T29" s="91" t="n"/>
      <c r="U29" s="91" t="n"/>
      <c r="V29" s="91" t="n"/>
      <c r="W29" s="91" t="n"/>
      <c r="X29" s="91" t="n"/>
      <c r="Y29" s="91" t="n"/>
      <c r="Z29" s="91" t="n"/>
      <c r="AA29" s="91" t="n"/>
      <c r="AB29" s="91" t="n"/>
      <c r="AC29" s="91" t="n"/>
      <c r="AD29" s="91" t="n"/>
      <c r="AE29" s="91" t="n"/>
      <c r="AF29" s="91" t="n"/>
      <c r="AG29" s="91" t="n"/>
      <c r="AH29" s="220" t="n"/>
      <c r="AI29" s="220" t="n"/>
      <c r="AJ29" s="220" t="n"/>
      <c r="AK29" s="220" t="n"/>
      <c r="AL29" s="220" t="n"/>
      <c r="AM29" s="220" t="n"/>
      <c r="AN29" s="220" t="n"/>
      <c r="AO29" s="220" t="n"/>
      <c r="AP29" s="220" t="n"/>
      <c r="AQ29" s="220" t="n"/>
      <c r="AR29" s="220" t="n"/>
      <c r="AS29" s="220" t="n"/>
      <c r="AT29" s="220" t="n"/>
      <c r="AU29" s="220" t="n"/>
      <c r="AV29" s="220" t="n"/>
      <c r="AW29" s="220" t="n"/>
      <c r="AX29" s="220" t="n"/>
      <c r="AY29" s="220" t="n"/>
      <c r="AZ29" s="220" t="n"/>
      <c r="BA29" s="220" t="n"/>
      <c r="BB29" s="220" t="n"/>
      <c r="BC29" s="220" t="n"/>
      <c r="BD29" s="220" t="n"/>
      <c r="BE29" s="220" t="n"/>
      <c r="BF29" s="220" t="n"/>
      <c r="BG29" s="220" t="n"/>
      <c r="BH29" s="220" t="n"/>
      <c r="BI29" s="220" t="n"/>
      <c r="BJ29" s="220" t="n"/>
      <c r="BK29" s="220" t="n"/>
      <c r="BL29" s="220" t="n"/>
      <c r="BM29" s="220" t="n"/>
      <c r="BN29" s="220" t="n"/>
      <c r="BO29" s="220" t="n"/>
      <c r="BP29" s="220" t="n"/>
    </row>
    <row r="30" ht="14.45" customHeight="1">
      <c r="A30" s="220" t="n"/>
      <c r="B30" s="250" t="inlineStr">
        <is>
          <t>Chris</t>
        </is>
      </c>
      <c r="C30" s="251" t="n"/>
      <c r="D30" s="251" t="n"/>
      <c r="E30" s="251" t="n"/>
      <c r="F30" s="251" t="n"/>
      <c r="G30" s="251" t="n"/>
      <c r="H30" s="251" t="n"/>
      <c r="I30" s="251" t="n"/>
      <c r="J30" s="251" t="n"/>
      <c r="K30" s="251" t="n"/>
      <c r="L30" s="251" t="n"/>
      <c r="M30" s="251" t="n"/>
      <c r="N30" s="251" t="n"/>
      <c r="O30" s="143">
        <f>IFERROR(AVERAGE(Ceased_North[[#This Row],[Jan]:[Dec]]),"")</f>
        <v/>
      </c>
      <c r="P30" s="220" t="n"/>
      <c r="Q30" s="91" t="n"/>
      <c r="R30" s="91" t="n"/>
      <c r="S30" s="91" t="n"/>
      <c r="T30" s="91" t="n"/>
      <c r="U30" s="91" t="n"/>
      <c r="V30" s="91" t="n"/>
      <c r="W30" s="91" t="n"/>
      <c r="X30" s="96" t="n"/>
      <c r="Y30" s="220" t="n"/>
      <c r="Z30" s="220" t="n"/>
      <c r="AA30" s="220" t="n"/>
      <c r="AB30" s="220" t="n"/>
      <c r="AC30" s="220" t="n"/>
      <c r="AD30" s="220" t="n"/>
      <c r="AE30" s="220" t="n"/>
      <c r="AF30" s="220" t="n"/>
      <c r="AG30" s="220" t="n"/>
      <c r="AH30" s="220" t="n"/>
      <c r="AI30" s="220" t="n"/>
      <c r="AJ30" s="220" t="n"/>
      <c r="AK30" s="220" t="n"/>
      <c r="AL30" s="220" t="n"/>
      <c r="AM30" s="220" t="n"/>
      <c r="AN30" s="220" t="n"/>
      <c r="AO30" s="220" t="n"/>
      <c r="AP30" s="220" t="n"/>
      <c r="AQ30" s="220" t="n"/>
      <c r="AR30" s="220" t="n"/>
      <c r="AS30" s="220" t="n"/>
      <c r="AT30" s="220" t="n"/>
      <c r="AU30" s="220" t="n"/>
      <c r="AV30" s="220" t="n"/>
      <c r="AW30" s="220" t="n"/>
      <c r="AX30" s="220" t="n"/>
      <c r="AY30" s="220" t="n"/>
      <c r="AZ30" s="220" t="n"/>
      <c r="BA30" s="220" t="n"/>
      <c r="BB30" s="220" t="n"/>
      <c r="BC30" s="220" t="n"/>
      <c r="BD30" s="220" t="n"/>
      <c r="BE30" s="220" t="n"/>
      <c r="BF30" s="220" t="n"/>
      <c r="BG30" s="220" t="n"/>
      <c r="BH30" s="220" t="n"/>
      <c r="BI30" s="220" t="n"/>
      <c r="BJ30" s="220" t="n"/>
      <c r="BK30" s="220" t="n"/>
      <c r="BL30" s="220" t="n"/>
      <c r="BM30" s="220" t="n"/>
      <c r="BN30" s="220" t="n"/>
      <c r="BO30" s="220" t="n"/>
      <c r="BP30" s="220" t="n"/>
    </row>
    <row r="31">
      <c r="A31" s="220" t="n"/>
      <c r="B31" s="250" t="inlineStr">
        <is>
          <t>Emilie</t>
        </is>
      </c>
      <c r="C31" s="251" t="n"/>
      <c r="D31" s="251" t="n"/>
      <c r="E31" s="251" t="n"/>
      <c r="F31" s="251" t="n"/>
      <c r="G31" s="251" t="n"/>
      <c r="H31" s="251" t="n"/>
      <c r="I31" s="251" t="n"/>
      <c r="J31" s="251" t="n"/>
      <c r="K31" s="251" t="n"/>
      <c r="L31" s="251" t="n"/>
      <c r="M31" s="251" t="n"/>
      <c r="N31" s="251" t="n"/>
      <c r="O31" s="145">
        <f>IFERROR(AVERAGE(Ceased_North[[#This Row],[Jan]:[Dec]]),"")</f>
        <v/>
      </c>
      <c r="P31" s="220" t="n"/>
      <c r="Q31" s="188" t="inlineStr">
        <is>
          <t>Documentation</t>
        </is>
      </c>
      <c r="R31" s="236" t="n"/>
      <c r="S31" s="236" t="n"/>
      <c r="T31" s="236" t="n"/>
      <c r="U31" s="231" t="n"/>
      <c r="V31" s="91" t="n"/>
      <c r="W31" s="91" t="n"/>
      <c r="X31" s="91" t="n"/>
      <c r="Y31" s="91" t="n"/>
      <c r="Z31" s="91" t="n"/>
      <c r="AA31" s="91" t="n"/>
      <c r="AB31" s="220" t="n"/>
      <c r="AC31" s="220" t="n"/>
      <c r="AD31" s="220" t="n"/>
      <c r="AE31" s="220" t="n"/>
      <c r="AF31" s="220" t="n"/>
      <c r="AG31" s="220" t="n"/>
      <c r="AH31" s="220" t="n"/>
      <c r="AI31" s="220" t="n"/>
      <c r="AJ31" s="220" t="n"/>
      <c r="AK31" s="220" t="n"/>
      <c r="AL31" s="220" t="n"/>
      <c r="AM31" s="220" t="n"/>
      <c r="AN31" s="220" t="n"/>
      <c r="AO31" s="220" t="n"/>
      <c r="AP31" s="220" t="n"/>
      <c r="AQ31" s="220" t="n"/>
      <c r="AR31" s="220" t="n"/>
      <c r="AS31" s="220" t="n"/>
      <c r="AT31" s="220" t="n"/>
      <c r="AU31" s="220" t="n"/>
      <c r="AV31" s="220" t="n"/>
      <c r="AW31" s="220" t="n"/>
      <c r="AX31" s="220" t="n"/>
      <c r="AY31" s="220" t="n"/>
      <c r="AZ31" s="220" t="n"/>
      <c r="BA31" s="220" t="n"/>
      <c r="BB31" s="220" t="n"/>
      <c r="BC31" s="220" t="n"/>
      <c r="BD31" s="220" t="n"/>
      <c r="BE31" s="220" t="n"/>
      <c r="BF31" s="220" t="n"/>
      <c r="BG31" s="220" t="n"/>
      <c r="BH31" s="220" t="n"/>
      <c r="BI31" s="220" t="n"/>
      <c r="BJ31" s="220" t="n"/>
      <c r="BK31" s="220" t="n"/>
      <c r="BL31" s="220" t="n"/>
      <c r="BM31" s="220" t="n"/>
      <c r="BN31" s="220" t="n"/>
      <c r="BO31" s="220" t="n"/>
      <c r="BP31" s="220" t="n"/>
    </row>
    <row r="32">
      <c r="A32" s="220" t="n"/>
      <c r="B32" s="250" t="inlineStr">
        <is>
          <t>Eva</t>
        </is>
      </c>
      <c r="C32" s="251" t="n"/>
      <c r="D32" s="251" t="n"/>
      <c r="E32" s="251" t="n"/>
      <c r="F32" s="251" t="n"/>
      <c r="G32" s="251" t="n"/>
      <c r="H32" s="251" t="n"/>
      <c r="I32" s="251" t="n"/>
      <c r="J32" s="251" t="n"/>
      <c r="K32" s="251" t="n"/>
      <c r="L32" s="251" t="n"/>
      <c r="M32" s="251" t="n"/>
      <c r="N32" s="251" t="n"/>
      <c r="O32" s="145">
        <f>IFERROR(AVERAGE(Ceased_North[[#This Row],[Jan]:[Dec]]),"")</f>
        <v/>
      </c>
      <c r="P32" s="220" t="n"/>
      <c r="Q32" s="196" t="inlineStr">
        <is>
          <t xml:space="preserve">Clinical notes, service agreements, and reports. </t>
        </is>
      </c>
      <c r="R32" s="238" t="n"/>
      <c r="S32" s="238" t="n"/>
      <c r="T32" s="238" t="n"/>
      <c r="U32" s="239" t="n"/>
      <c r="V32" s="91" t="n"/>
      <c r="W32" s="91" t="n"/>
      <c r="X32" s="91" t="n"/>
      <c r="Y32" s="91" t="n"/>
      <c r="Z32" s="91" t="n"/>
      <c r="AA32" s="91" t="n"/>
      <c r="AB32" s="220" t="n"/>
      <c r="AC32" s="220" t="n"/>
      <c r="AD32" s="220" t="n"/>
      <c r="AE32" s="220" t="n"/>
      <c r="AF32" s="220" t="n"/>
      <c r="AG32" s="220" t="n"/>
      <c r="AH32" s="220" t="n"/>
      <c r="AI32" s="220" t="n"/>
      <c r="AJ32" s="220" t="n"/>
      <c r="AK32" s="220" t="n"/>
      <c r="AL32" s="220" t="n"/>
      <c r="AM32" s="220" t="n"/>
      <c r="AN32" s="220" t="n"/>
      <c r="AO32" s="220" t="n"/>
      <c r="AP32" s="220" t="n"/>
      <c r="AQ32" s="220" t="n"/>
      <c r="AR32" s="220" t="n"/>
      <c r="AS32" s="220" t="n"/>
      <c r="AT32" s="220" t="n"/>
      <c r="AU32" s="220" t="n"/>
      <c r="AV32" s="220" t="n"/>
      <c r="AW32" s="220" t="n"/>
      <c r="AX32" s="220" t="n"/>
      <c r="AY32" s="220" t="n"/>
      <c r="AZ32" s="220" t="n"/>
      <c r="BA32" s="220" t="n"/>
      <c r="BB32" s="220" t="n"/>
      <c r="BC32" s="220" t="n"/>
      <c r="BD32" s="220" t="n"/>
      <c r="BE32" s="220" t="n"/>
      <c r="BF32" s="220" t="n"/>
      <c r="BG32" s="220" t="n"/>
      <c r="BH32" s="220" t="n"/>
      <c r="BI32" s="220" t="n"/>
      <c r="BJ32" s="220" t="n"/>
      <c r="BK32" s="220" t="n"/>
      <c r="BL32" s="220" t="n"/>
      <c r="BM32" s="220" t="n"/>
      <c r="BN32" s="220" t="n"/>
      <c r="BO32" s="220" t="n"/>
      <c r="BP32" s="220" t="n"/>
    </row>
    <row r="33">
      <c r="A33" s="220" t="n"/>
      <c r="B33" s="258" t="inlineStr">
        <is>
          <t>Jackson</t>
        </is>
      </c>
      <c r="C33" s="259" t="n"/>
      <c r="D33" s="259" t="n"/>
      <c r="E33" s="259" t="n"/>
      <c r="F33" s="259" t="n"/>
      <c r="G33" s="251" t="n"/>
      <c r="H33" s="251" t="n"/>
      <c r="I33" s="251" t="n"/>
      <c r="J33" s="251" t="n"/>
      <c r="K33" s="251" t="n"/>
      <c r="L33" s="251" t="n"/>
      <c r="M33" s="251" t="n"/>
      <c r="N33" s="251" t="n"/>
      <c r="O33" s="143">
        <f>IFERROR(AVERAGE(Ceased_North[[#This Row],[Jan]:[Dec]]),"")</f>
        <v/>
      </c>
      <c r="P33" s="220" t="n"/>
      <c r="Q33" s="11" t="n">
        <v>5</v>
      </c>
      <c r="R33" s="12" t="n"/>
      <c r="S33" s="181" t="inlineStr">
        <is>
          <t>Excellent</t>
        </is>
      </c>
      <c r="T33" s="236" t="n"/>
      <c r="U33" s="236" t="n"/>
      <c r="V33" s="11" t="inlineStr">
        <is>
          <t>Notes/reports completed on time, accurate, clinically sound, and advocate for client. Service agreements up to date.</t>
        </is>
      </c>
      <c r="W33" s="30" t="n"/>
      <c r="X33" s="30" t="n"/>
      <c r="Y33" s="30" t="n"/>
      <c r="Z33" s="30" t="n"/>
      <c r="AA33" s="30" t="n"/>
      <c r="AB33" s="31" t="n"/>
      <c r="AC33" s="31" t="n"/>
      <c r="AD33" s="31" t="n"/>
      <c r="AE33" s="31" t="n"/>
      <c r="AF33" s="31" t="n"/>
      <c r="AG33" s="31" t="n"/>
      <c r="AH33" s="32" t="n"/>
      <c r="AI33" s="220" t="n"/>
      <c r="AJ33" s="220" t="n"/>
      <c r="AK33" s="220" t="n"/>
      <c r="AL33" s="220" t="n"/>
      <c r="AM33" s="220" t="n"/>
      <c r="AN33" s="220" t="n"/>
      <c r="AO33" s="220" t="n"/>
      <c r="AP33" s="220" t="n"/>
      <c r="AQ33" s="220" t="n"/>
      <c r="AR33" s="220" t="n"/>
      <c r="AS33" s="220" t="n"/>
      <c r="AT33" s="220" t="n"/>
      <c r="AU33" s="220" t="n"/>
      <c r="AV33" s="220" t="n"/>
      <c r="AW33" s="220" t="n"/>
      <c r="AX33" s="220" t="n"/>
      <c r="AY33" s="220" t="n"/>
      <c r="AZ33" s="220" t="n"/>
      <c r="BA33" s="220" t="n"/>
      <c r="BB33" s="220" t="n"/>
      <c r="BC33" s="220" t="n"/>
      <c r="BD33" s="220" t="n"/>
      <c r="BE33" s="220" t="n"/>
      <c r="BF33" s="220" t="n"/>
      <c r="BG33" s="220" t="n"/>
      <c r="BH33" s="220" t="n"/>
      <c r="BI33" s="220" t="n"/>
      <c r="BJ33" s="220" t="n"/>
      <c r="BK33" s="220" t="n"/>
      <c r="BL33" s="220" t="n"/>
      <c r="BM33" s="220" t="n"/>
      <c r="BN33" s="220" t="n"/>
      <c r="BO33" s="220" t="n"/>
      <c r="BP33" s="220" t="n"/>
    </row>
    <row r="34">
      <c r="A34" s="220" t="n"/>
      <c r="B34" s="250" t="inlineStr">
        <is>
          <t>Jay</t>
        </is>
      </c>
      <c r="C34" s="251" t="n"/>
      <c r="D34" s="251" t="n"/>
      <c r="E34" s="251" t="n"/>
      <c r="F34" s="251" t="n"/>
      <c r="G34" s="251" t="n"/>
      <c r="H34" s="251" t="n"/>
      <c r="I34" s="251" t="n"/>
      <c r="J34" s="251" t="n"/>
      <c r="K34" s="251" t="n"/>
      <c r="L34" s="251" t="n"/>
      <c r="M34" s="251" t="n"/>
      <c r="N34" s="251" t="n"/>
      <c r="O34" s="143">
        <f>IFERROR(AVERAGE(Ceased_North[[#This Row],[Jan]:[Dec]]),"")</f>
        <v/>
      </c>
      <c r="P34" s="91" t="n"/>
      <c r="Q34" s="13" t="n">
        <v>4</v>
      </c>
      <c r="R34" s="14" t="n"/>
      <c r="S34" s="192" t="inlineStr">
        <is>
          <t>Very Good</t>
        </is>
      </c>
      <c r="V34" s="13" t="inlineStr">
        <is>
          <t xml:space="preserve">Notes/reports generally completed on time and of good quality. Service agreements mostly up to date. </t>
        </is>
      </c>
      <c r="W34" s="91" t="n"/>
      <c r="X34" s="91" t="n"/>
      <c r="Y34" s="91" t="n"/>
      <c r="Z34" s="91" t="n"/>
      <c r="AA34" s="91" t="n"/>
      <c r="AB34" s="220" t="n"/>
      <c r="AC34" s="220" t="n"/>
      <c r="AD34" s="220" t="n"/>
      <c r="AE34" s="220" t="n"/>
      <c r="AF34" s="220" t="n"/>
      <c r="AG34" s="220" t="n"/>
      <c r="AH34" s="34" t="n"/>
      <c r="AI34" s="220" t="n"/>
      <c r="AJ34" s="220" t="n"/>
      <c r="AK34" s="220" t="n"/>
      <c r="AL34" s="220" t="n"/>
      <c r="AM34" s="220" t="n"/>
      <c r="AN34" s="220" t="n"/>
      <c r="AO34" s="220" t="n"/>
      <c r="AP34" s="220" t="n"/>
      <c r="AQ34" s="220" t="n"/>
      <c r="AR34" s="220" t="n"/>
      <c r="AS34" s="220" t="n"/>
      <c r="AT34" s="220" t="n"/>
      <c r="AU34" s="220" t="n"/>
      <c r="AV34" s="220" t="n"/>
      <c r="AW34" s="220" t="n"/>
      <c r="AX34" s="220" t="n"/>
      <c r="AY34" s="220" t="n"/>
      <c r="AZ34" s="220" t="n"/>
      <c r="BA34" s="220" t="n"/>
      <c r="BB34" s="220" t="n"/>
      <c r="BC34" s="220" t="n"/>
      <c r="BD34" s="220" t="n"/>
      <c r="BE34" s="220" t="n"/>
      <c r="BF34" s="220" t="n"/>
      <c r="BG34" s="220" t="n"/>
      <c r="BH34" s="220" t="n"/>
      <c r="BI34" s="220" t="n"/>
      <c r="BJ34" s="220" t="n"/>
      <c r="BK34" s="220" t="n"/>
      <c r="BL34" s="220" t="n"/>
      <c r="BM34" s="220" t="n"/>
      <c r="BN34" s="220" t="n"/>
      <c r="BO34" s="220" t="n"/>
      <c r="BP34" s="220" t="n"/>
    </row>
    <row r="35" ht="14.45" customHeight="1">
      <c r="A35" s="220" t="n"/>
      <c r="B35" s="250" t="inlineStr">
        <is>
          <t>Jaymee</t>
        </is>
      </c>
      <c r="C35" s="251" t="n"/>
      <c r="D35" s="251" t="n"/>
      <c r="E35" s="251" t="n"/>
      <c r="F35" s="251" t="n"/>
      <c r="G35" s="251" t="n"/>
      <c r="H35" s="251" t="n"/>
      <c r="I35" s="251" t="n"/>
      <c r="J35" s="251" t="n"/>
      <c r="K35" s="251" t="n"/>
      <c r="L35" s="251" t="n"/>
      <c r="M35" s="251" t="n"/>
      <c r="N35" s="251" t="n"/>
      <c r="O35" s="143">
        <f>IFERROR(AVERAGE(Ceased_North[[#This Row],[Jan]:[Dec]]),"")</f>
        <v/>
      </c>
      <c r="P35" s="220" t="n"/>
      <c r="Q35" s="13" t="n">
        <v>3</v>
      </c>
      <c r="R35" s="14" t="n"/>
      <c r="S35" s="185" t="inlineStr">
        <is>
          <t>In Progress</t>
        </is>
      </c>
      <c r="V35" s="13" t="inlineStr">
        <is>
          <t>Notes/reports mostly on time. Clinical quality is developing, occasional revisions. Some service agreements need follow-up.</t>
        </is>
      </c>
      <c r="W35" s="91" t="n"/>
      <c r="X35" s="91" t="n"/>
      <c r="Y35" s="91" t="n"/>
      <c r="Z35" s="91" t="n"/>
      <c r="AA35" s="91" t="n"/>
      <c r="AB35" s="220" t="n"/>
      <c r="AC35" s="220" t="n"/>
      <c r="AD35" s="220" t="n"/>
      <c r="AE35" s="220" t="n"/>
      <c r="AF35" s="220" t="n"/>
      <c r="AG35" s="220" t="n"/>
      <c r="AH35" s="34" t="n"/>
      <c r="AI35" s="220" t="n"/>
      <c r="AJ35" s="220" t="n"/>
      <c r="AK35" s="220" t="n"/>
      <c r="AL35" s="220" t="n"/>
      <c r="AM35" s="220" t="n"/>
      <c r="AN35" s="220" t="n"/>
      <c r="AO35" s="220" t="n"/>
      <c r="AP35" s="220" t="n"/>
      <c r="AQ35" s="220" t="n"/>
      <c r="AR35" s="220" t="n"/>
      <c r="AS35" s="220" t="n"/>
      <c r="AT35" s="220" t="n"/>
      <c r="AU35" s="220" t="n"/>
      <c r="AV35" s="220" t="n"/>
      <c r="AW35" s="220" t="n"/>
      <c r="AX35" s="220" t="n"/>
      <c r="AY35" s="220" t="n"/>
      <c r="AZ35" s="220" t="n"/>
      <c r="BA35" s="220" t="n"/>
      <c r="BB35" s="220" t="n"/>
      <c r="BC35" s="220" t="n"/>
      <c r="BD35" s="220" t="n"/>
      <c r="BE35" s="220" t="n"/>
      <c r="BF35" s="220" t="n"/>
      <c r="BG35" s="220" t="n"/>
      <c r="BH35" s="220" t="n"/>
      <c r="BI35" s="220" t="n"/>
      <c r="BJ35" s="220" t="n"/>
      <c r="BK35" s="220" t="n"/>
      <c r="BL35" s="220" t="n"/>
      <c r="BM35" s="220" t="n"/>
      <c r="BN35" s="220" t="n"/>
      <c r="BO35" s="220" t="n"/>
      <c r="BP35" s="220" t="n"/>
    </row>
    <row r="36">
      <c r="A36" s="220" t="n"/>
      <c r="B36" s="220" t="n"/>
      <c r="C36" s="94" t="n"/>
      <c r="D36" s="94" t="n"/>
      <c r="E36" s="94" t="n"/>
      <c r="F36" s="94" t="n"/>
      <c r="G36" s="94" t="n"/>
      <c r="H36" s="94" t="n"/>
      <c r="I36" s="94" t="n"/>
      <c r="J36" s="94" t="n"/>
      <c r="K36" s="94" t="n"/>
      <c r="L36" s="94" t="n"/>
      <c r="M36" s="139" t="n"/>
      <c r="N36" s="139" t="n"/>
      <c r="O36" s="139" t="n"/>
      <c r="P36" s="220" t="n"/>
      <c r="Q36" s="13" t="n">
        <v>2</v>
      </c>
      <c r="R36" s="14" t="n"/>
      <c r="S36" s="182" t="inlineStr">
        <is>
          <t>Needs Improvement</t>
        </is>
      </c>
      <c r="V36" s="13" t="inlineStr">
        <is>
          <t xml:space="preserve">Frequent delays in documentation. Clinical quality inconsistent, most service agreements not up to date.  </t>
        </is>
      </c>
      <c r="W36" s="91" t="n"/>
      <c r="X36" s="91" t="n"/>
      <c r="Y36" s="91" t="n"/>
      <c r="Z36" s="91" t="n"/>
      <c r="AA36" s="91" t="n"/>
      <c r="AB36" s="220" t="n"/>
      <c r="AC36" s="220" t="n"/>
      <c r="AD36" s="220" t="n"/>
      <c r="AE36" s="220" t="n"/>
      <c r="AF36" s="220" t="n"/>
      <c r="AG36" s="220" t="n"/>
      <c r="AH36" s="34" t="n"/>
      <c r="AI36" s="220" t="n"/>
      <c r="AJ36" s="220" t="n"/>
      <c r="AK36" s="220" t="n"/>
      <c r="AL36" s="220" t="n"/>
      <c r="AM36" s="220" t="n"/>
      <c r="AN36" s="220" t="n"/>
      <c r="AO36" s="220" t="n"/>
      <c r="AP36" s="220" t="n"/>
      <c r="AQ36" s="220" t="n"/>
      <c r="AR36" s="220" t="n"/>
      <c r="AS36" s="220" t="n"/>
      <c r="AT36" s="220" t="n"/>
      <c r="AU36" s="220" t="n"/>
      <c r="AV36" s="220" t="n"/>
      <c r="AW36" s="220" t="n"/>
      <c r="AX36" s="220" t="n"/>
      <c r="AY36" s="220" t="n"/>
      <c r="AZ36" s="220" t="n"/>
      <c r="BA36" s="220" t="n"/>
      <c r="BB36" s="220" t="n"/>
      <c r="BC36" s="220" t="n"/>
      <c r="BD36" s="220" t="n"/>
      <c r="BE36" s="220" t="n"/>
      <c r="BF36" s="220" t="n"/>
      <c r="BG36" s="220" t="n"/>
      <c r="BH36" s="220" t="n"/>
      <c r="BI36" s="220" t="n"/>
      <c r="BJ36" s="220" t="n"/>
      <c r="BK36" s="220" t="n"/>
      <c r="BL36" s="220" t="n"/>
      <c r="BM36" s="220" t="n"/>
      <c r="BN36" s="220" t="n"/>
      <c r="BO36" s="220" t="n"/>
      <c r="BP36" s="220" t="n"/>
    </row>
    <row r="37">
      <c r="A37" s="220" t="n"/>
      <c r="B37" s="88" t="inlineStr">
        <is>
          <t>Documentation</t>
        </is>
      </c>
      <c r="C37" s="133" t="inlineStr">
        <is>
          <t>Jan</t>
        </is>
      </c>
      <c r="D37" s="133" t="inlineStr">
        <is>
          <t>Feb</t>
        </is>
      </c>
      <c r="E37" s="133" t="inlineStr">
        <is>
          <t>Mar</t>
        </is>
      </c>
      <c r="F37" s="133" t="inlineStr">
        <is>
          <t>Apr</t>
        </is>
      </c>
      <c r="G37" s="133" t="inlineStr">
        <is>
          <t>May</t>
        </is>
      </c>
      <c r="H37" s="133" t="inlineStr">
        <is>
          <t>June</t>
        </is>
      </c>
      <c r="I37" s="133" t="inlineStr">
        <is>
          <t>July</t>
        </is>
      </c>
      <c r="J37" s="133" t="inlineStr">
        <is>
          <t>Aug</t>
        </is>
      </c>
      <c r="K37" s="133" t="inlineStr">
        <is>
          <t>Sept</t>
        </is>
      </c>
      <c r="L37" s="133" t="inlineStr">
        <is>
          <t>Oct</t>
        </is>
      </c>
      <c r="M37" s="133" t="inlineStr">
        <is>
          <t>Nov</t>
        </is>
      </c>
      <c r="N37" s="133" t="inlineStr">
        <is>
          <t>Dec</t>
        </is>
      </c>
      <c r="O37" s="133" t="inlineStr">
        <is>
          <t>Average</t>
        </is>
      </c>
      <c r="P37" s="220" t="n"/>
      <c r="Q37" s="15" t="n">
        <v>1</v>
      </c>
      <c r="R37" s="16" t="n"/>
      <c r="S37" s="190" t="inlineStr">
        <is>
          <t>Unsatisfactory</t>
        </is>
      </c>
      <c r="T37" s="240" t="n"/>
      <c r="U37" s="240" t="n"/>
      <c r="V37" s="15" t="inlineStr">
        <is>
          <t>Notes and reports regularly late or missing. Clinical quality below standard. Service agreements not maintained.</t>
        </is>
      </c>
      <c r="W37" s="36" t="n"/>
      <c r="X37" s="36" t="n"/>
      <c r="Y37" s="36" t="n"/>
      <c r="Z37" s="36" t="n"/>
      <c r="AA37" s="36" t="n"/>
      <c r="AB37" s="37" t="n"/>
      <c r="AC37" s="37" t="n"/>
      <c r="AD37" s="37" t="n"/>
      <c r="AE37" s="37" t="n"/>
      <c r="AF37" s="37" t="n"/>
      <c r="AG37" s="37" t="n"/>
      <c r="AH37" s="38" t="n"/>
      <c r="AI37" s="220" t="n"/>
      <c r="AJ37" s="220" t="n"/>
      <c r="AK37" s="220" t="n"/>
      <c r="AL37" s="220" t="n"/>
      <c r="AM37" s="220" t="n"/>
      <c r="AN37" s="220" t="n"/>
      <c r="AO37" s="220" t="n"/>
      <c r="AP37" s="220" t="n"/>
      <c r="AQ37" s="220" t="n"/>
      <c r="AR37" s="220" t="n"/>
      <c r="AS37" s="220" t="n"/>
      <c r="AT37" s="220" t="n"/>
      <c r="AU37" s="220" t="n"/>
      <c r="AV37" s="220" t="n"/>
      <c r="AW37" s="220" t="n"/>
      <c r="AX37" s="220" t="n"/>
      <c r="AY37" s="220" t="n"/>
      <c r="AZ37" s="220" t="n"/>
      <c r="BA37" s="220" t="n"/>
      <c r="BB37" s="220" t="n"/>
      <c r="BC37" s="220" t="n"/>
      <c r="BD37" s="220" t="n"/>
      <c r="BE37" s="220" t="n"/>
      <c r="BF37" s="220" t="n"/>
      <c r="BG37" s="220" t="n"/>
      <c r="BH37" s="220" t="n"/>
      <c r="BI37" s="220" t="n"/>
      <c r="BJ37" s="220" t="n"/>
      <c r="BK37" s="220" t="n"/>
      <c r="BL37" s="220" t="n"/>
      <c r="BM37" s="220" t="n"/>
      <c r="BN37" s="220" t="n"/>
      <c r="BO37" s="220" t="n"/>
      <c r="BP37" s="220" t="n"/>
    </row>
    <row r="38">
      <c r="A38" s="220" t="n"/>
      <c r="B38" s="250" t="inlineStr">
        <is>
          <t>Marco</t>
        </is>
      </c>
      <c r="C38" s="247" t="n"/>
      <c r="D38" s="247" t="n"/>
      <c r="E38" s="247" t="n"/>
      <c r="F38" s="247" t="n"/>
      <c r="G38" s="247" t="n"/>
      <c r="H38" s="247" t="n"/>
      <c r="I38" s="247" t="n"/>
      <c r="J38" s="247" t="n"/>
      <c r="K38" s="247" t="n"/>
      <c r="L38" s="247" t="n"/>
      <c r="M38" s="247" t="n"/>
      <c r="N38" s="247" t="n"/>
      <c r="O38" s="147">
        <f>IFERROR(AVERAGE(Documentation_North[[#This Row],[Jan]:[Dec]]),"")</f>
        <v/>
      </c>
      <c r="P38" s="220" t="n"/>
      <c r="Q38" s="220" t="n"/>
      <c r="R38" s="220" t="n"/>
      <c r="S38" s="220" t="n"/>
      <c r="T38" s="220" t="n"/>
      <c r="U38" s="220" t="n"/>
      <c r="V38" s="220" t="n"/>
      <c r="W38" s="220" t="n"/>
      <c r="X38" s="91" t="n"/>
      <c r="Y38" s="91" t="n"/>
      <c r="Z38" s="91" t="n"/>
      <c r="AA38" s="91" t="n"/>
      <c r="AB38" s="220" t="n"/>
      <c r="AC38" s="220" t="n"/>
      <c r="AD38" s="220" t="n"/>
      <c r="AE38" s="220" t="n"/>
      <c r="AF38" s="220" t="n"/>
      <c r="AG38" s="220" t="n"/>
      <c r="AH38" s="220" t="n"/>
      <c r="AI38" s="220" t="n"/>
      <c r="AJ38" s="220" t="n"/>
      <c r="AK38" s="220" t="n"/>
      <c r="AL38" s="220" t="n"/>
      <c r="AM38" s="220" t="n"/>
      <c r="AN38" s="220" t="n"/>
      <c r="AO38" s="220" t="n"/>
      <c r="AP38" s="220" t="n"/>
      <c r="AQ38" s="220" t="n"/>
      <c r="AR38" s="220" t="n"/>
      <c r="AS38" s="220" t="n"/>
      <c r="AT38" s="220" t="n"/>
      <c r="AU38" s="220" t="n"/>
      <c r="AV38" s="220" t="n"/>
      <c r="AW38" s="220" t="n"/>
      <c r="AX38" s="220" t="n"/>
      <c r="AY38" s="220" t="n"/>
      <c r="AZ38" s="220" t="n"/>
      <c r="BA38" s="220" t="n"/>
      <c r="BB38" s="220" t="n"/>
      <c r="BC38" s="220" t="n"/>
      <c r="BD38" s="220" t="n"/>
      <c r="BE38" s="220" t="n"/>
      <c r="BF38" s="220" t="n"/>
      <c r="BG38" s="220" t="n"/>
      <c r="BH38" s="220" t="n"/>
      <c r="BI38" s="220" t="n"/>
      <c r="BJ38" s="220" t="n"/>
      <c r="BK38" s="220" t="n"/>
      <c r="BL38" s="220" t="n"/>
      <c r="BM38" s="220" t="n"/>
      <c r="BN38" s="220" t="n"/>
      <c r="BO38" s="220" t="n"/>
      <c r="BP38" s="220" t="n"/>
    </row>
    <row r="39">
      <c r="A39" s="220" t="n"/>
      <c r="B39" s="250" t="inlineStr">
        <is>
          <t>Danny</t>
        </is>
      </c>
      <c r="C39" s="247" t="n"/>
      <c r="D39" s="247" t="n"/>
      <c r="E39" s="247" t="n"/>
      <c r="F39" s="247" t="n"/>
      <c r="G39" s="247" t="n"/>
      <c r="H39" s="247" t="n"/>
      <c r="I39" s="247" t="n"/>
      <c r="J39" s="247" t="n"/>
      <c r="K39" s="247" t="n"/>
      <c r="L39" s="247" t="n"/>
      <c r="M39" s="247" t="n"/>
      <c r="N39" s="247" t="n"/>
      <c r="O39" s="147">
        <f>IFERROR(AVERAGE(Documentation_North[[#This Row],[Jan]:[Dec]]),"")</f>
        <v/>
      </c>
      <c r="P39" s="220" t="n"/>
      <c r="Q39" s="220" t="n"/>
      <c r="R39" s="220" t="n"/>
      <c r="S39" s="220" t="n"/>
      <c r="T39" s="91" t="n"/>
      <c r="U39" s="91" t="n"/>
      <c r="V39" s="91" t="n"/>
      <c r="W39" s="91" t="n"/>
      <c r="X39" s="220" t="n"/>
      <c r="Y39" s="220" t="n"/>
      <c r="Z39" s="220" t="n"/>
      <c r="AA39" s="220" t="n"/>
      <c r="AB39" s="220" t="n"/>
      <c r="AC39" s="220" t="n"/>
      <c r="AD39" s="220" t="n"/>
      <c r="AE39" s="220" t="n"/>
      <c r="AF39" s="220" t="n"/>
      <c r="AG39" s="220" t="n"/>
      <c r="AH39" s="220" t="n"/>
      <c r="AI39" s="220" t="n"/>
      <c r="AJ39" s="220" t="n"/>
      <c r="AK39" s="220" t="n"/>
      <c r="AL39" s="220" t="n"/>
      <c r="AM39" s="220" t="n"/>
      <c r="AN39" s="220" t="n"/>
      <c r="AO39" s="220" t="n"/>
      <c r="AP39" s="220" t="n"/>
      <c r="AQ39" s="220" t="n"/>
      <c r="AR39" s="220" t="n"/>
      <c r="AS39" s="220" t="n"/>
      <c r="AT39" s="220" t="n"/>
      <c r="AU39" s="220" t="n"/>
      <c r="AV39" s="220" t="n"/>
      <c r="AW39" s="220" t="n"/>
      <c r="AX39" s="220" t="n"/>
      <c r="AY39" s="220" t="n"/>
      <c r="AZ39" s="220" t="n"/>
      <c r="BA39" s="220" t="n"/>
      <c r="BB39" s="220" t="n"/>
      <c r="BC39" s="220" t="n"/>
      <c r="BD39" s="220" t="n"/>
      <c r="BE39" s="220" t="n"/>
      <c r="BF39" s="220" t="n"/>
      <c r="BG39" s="220" t="n"/>
      <c r="BH39" s="220" t="n"/>
      <c r="BI39" s="220" t="n"/>
      <c r="BJ39" s="220" t="n"/>
      <c r="BK39" s="220" t="n"/>
      <c r="BL39" s="220" t="n"/>
      <c r="BM39" s="220" t="n"/>
      <c r="BN39" s="220" t="n"/>
      <c r="BO39" s="220" t="n"/>
      <c r="BP39" s="220" t="n"/>
    </row>
    <row r="40">
      <c r="A40" s="220" t="n"/>
      <c r="B40" s="250" t="inlineStr">
        <is>
          <t>Alice</t>
        </is>
      </c>
      <c r="C40" s="247" t="n"/>
      <c r="D40" s="247" t="n"/>
      <c r="E40" s="247" t="n"/>
      <c r="F40" s="247" t="n"/>
      <c r="G40" s="247" t="n"/>
      <c r="H40" s="247" t="n"/>
      <c r="I40" s="247" t="n"/>
      <c r="J40" s="247" t="n"/>
      <c r="K40" s="247" t="n"/>
      <c r="L40" s="247" t="n"/>
      <c r="M40" s="247" t="n"/>
      <c r="N40" s="247" t="n"/>
      <c r="O40" s="147">
        <f>IFERROR(AVERAGE(Documentation_North[[#This Row],[Jan]:[Dec]]),"")</f>
        <v/>
      </c>
      <c r="P40" s="220" t="n"/>
      <c r="Q40" s="177" t="inlineStr">
        <is>
          <t>Admin &amp; Operational Efficiency</t>
        </is>
      </c>
      <c r="R40" s="221" t="n"/>
      <c r="S40" s="221" t="n"/>
      <c r="T40" s="221" t="n"/>
      <c r="U40" s="222" t="n"/>
      <c r="V40" s="91" t="n"/>
      <c r="W40" s="91" t="n"/>
      <c r="X40" s="220" t="n"/>
      <c r="Y40" s="220" t="n"/>
      <c r="Z40" s="91" t="n"/>
      <c r="AA40" s="91" t="n"/>
      <c r="AB40" s="220" t="n"/>
      <c r="AC40" s="220" t="n"/>
      <c r="AD40" s="220" t="n"/>
      <c r="AE40" s="220" t="n"/>
      <c r="AF40" s="220" t="n"/>
      <c r="AG40" s="220" t="n"/>
      <c r="AH40" s="220" t="n"/>
      <c r="AI40" s="220" t="n"/>
      <c r="AJ40" s="220" t="n"/>
      <c r="AK40" s="220" t="n"/>
      <c r="AL40" s="220" t="n"/>
      <c r="AM40" s="220" t="n"/>
      <c r="AN40" s="220" t="n"/>
      <c r="AO40" s="220" t="n"/>
      <c r="AP40" s="220" t="n"/>
      <c r="AQ40" s="220" t="n"/>
      <c r="AR40" s="220" t="n"/>
      <c r="AS40" s="220" t="n"/>
      <c r="AT40" s="220" t="n"/>
      <c r="AU40" s="220" t="n"/>
      <c r="AV40" s="220" t="n"/>
      <c r="AW40" s="220" t="n"/>
      <c r="AX40" s="220" t="n"/>
      <c r="AY40" s="220" t="n"/>
      <c r="AZ40" s="220" t="n"/>
      <c r="BA40" s="220" t="n"/>
      <c r="BB40" s="220" t="n"/>
      <c r="BC40" s="220" t="n"/>
      <c r="BD40" s="220" t="n"/>
      <c r="BE40" s="220" t="n"/>
      <c r="BF40" s="220" t="n"/>
      <c r="BG40" s="220" t="n"/>
      <c r="BH40" s="220" t="n"/>
      <c r="BI40" s="220" t="n"/>
      <c r="BJ40" s="220" t="n"/>
      <c r="BK40" s="220" t="n"/>
      <c r="BL40" s="220" t="n"/>
      <c r="BM40" s="220" t="n"/>
      <c r="BN40" s="220" t="n"/>
      <c r="BO40" s="220" t="n"/>
      <c r="BP40" s="220" t="n"/>
    </row>
    <row r="41">
      <c r="A41" s="220" t="n"/>
      <c r="B41" s="250" t="inlineStr">
        <is>
          <t>April</t>
        </is>
      </c>
      <c r="C41" s="247" t="n"/>
      <c r="D41" s="247" t="n"/>
      <c r="E41" s="247" t="n"/>
      <c r="F41" s="247" t="n"/>
      <c r="G41" s="247" t="n"/>
      <c r="H41" s="247" t="n"/>
      <c r="I41" s="247" t="n"/>
      <c r="J41" s="247" t="n"/>
      <c r="K41" s="247" t="n"/>
      <c r="L41" s="247" t="n"/>
      <c r="M41" s="247" t="n"/>
      <c r="N41" s="247" t="n"/>
      <c r="O41" s="147">
        <f>IFERROR(AVERAGE(Documentation_North[[#This Row],[Jan]:[Dec]]),"")</f>
        <v/>
      </c>
      <c r="P41" s="220" t="n"/>
      <c r="Q41" s="183" t="inlineStr">
        <is>
          <t xml:space="preserve">Admin responsiveness, scheduling and bookings, service in Zanda, travel efficiency. </t>
        </is>
      </c>
      <c r="R41" s="236" t="n"/>
      <c r="S41" s="236" t="n"/>
      <c r="T41" s="236" t="n"/>
      <c r="U41" s="231" t="n"/>
      <c r="V41" s="91" t="n"/>
      <c r="W41" s="91" t="n"/>
      <c r="X41" s="220" t="n"/>
      <c r="Y41" s="220" t="n"/>
      <c r="Z41" s="91" t="n"/>
      <c r="AA41" s="91" t="n"/>
      <c r="AB41" s="220" t="n"/>
      <c r="AC41" s="220" t="n"/>
      <c r="AD41" s="220" t="n"/>
      <c r="AE41" s="220" t="n"/>
      <c r="AF41" s="220" t="n"/>
      <c r="AG41" s="220" t="n"/>
      <c r="AH41" s="220" t="n"/>
      <c r="AI41" s="220" t="n"/>
      <c r="AJ41" s="220" t="n"/>
      <c r="AK41" s="220" t="n"/>
      <c r="AL41" s="220" t="n"/>
      <c r="AM41" s="220" t="n"/>
      <c r="AN41" s="220" t="n"/>
      <c r="AO41" s="220" t="n"/>
      <c r="AP41" s="220" t="n"/>
      <c r="AQ41" s="220" t="n"/>
      <c r="AR41" s="220" t="n"/>
      <c r="AS41" s="220" t="n"/>
      <c r="AT41" s="220" t="n"/>
      <c r="AU41" s="220" t="n"/>
      <c r="AV41" s="220" t="n"/>
      <c r="AW41" s="220" t="n"/>
      <c r="AX41" s="220" t="n"/>
      <c r="AY41" s="220" t="n"/>
      <c r="AZ41" s="220" t="n"/>
      <c r="BA41" s="220" t="n"/>
      <c r="BB41" s="220" t="n"/>
      <c r="BC41" s="220" t="n"/>
      <c r="BD41" s="220" t="n"/>
      <c r="BE41" s="220" t="n"/>
      <c r="BF41" s="220" t="n"/>
      <c r="BG41" s="220" t="n"/>
      <c r="BH41" s="220" t="n"/>
      <c r="BI41" s="220" t="n"/>
      <c r="BJ41" s="220" t="n"/>
      <c r="BK41" s="220" t="n"/>
      <c r="BL41" s="220" t="n"/>
      <c r="BM41" s="220" t="n"/>
      <c r="BN41" s="220" t="n"/>
      <c r="BO41" s="220" t="n"/>
      <c r="BP41" s="220" t="n"/>
    </row>
    <row r="42">
      <c r="A42" s="220" t="n"/>
      <c r="B42" s="250" t="inlineStr">
        <is>
          <t>Chris</t>
        </is>
      </c>
      <c r="C42" s="247" t="n"/>
      <c r="D42" s="247" t="n"/>
      <c r="E42" s="247" t="n"/>
      <c r="F42" s="247" t="n"/>
      <c r="G42" s="247" t="n"/>
      <c r="H42" s="247" t="n"/>
      <c r="I42" s="247" t="n"/>
      <c r="J42" s="247" t="n"/>
      <c r="K42" s="247" t="n"/>
      <c r="L42" s="247" t="n"/>
      <c r="M42" s="247" t="n"/>
      <c r="N42" s="247" t="n"/>
      <c r="O42" s="147">
        <f>IFERROR(AVERAGE(Documentation_North[[#This Row],[Jan]:[Dec]]),"")</f>
        <v/>
      </c>
      <c r="P42" s="220" t="n"/>
      <c r="Q42" s="11" t="n">
        <v>5</v>
      </c>
      <c r="R42" s="12" t="n"/>
      <c r="S42" s="181" t="inlineStr">
        <is>
          <t>Excellent</t>
        </is>
      </c>
      <c r="T42" s="236" t="n"/>
      <c r="U42" s="236" t="n"/>
      <c r="V42" s="29" t="inlineStr">
        <is>
          <t xml:space="preserve">Responsive to admin. Appointments scheduled, confirmed &amp; services in Zanda accurate/timely. Efficient travel. </t>
        </is>
      </c>
      <c r="W42" s="30" t="n"/>
      <c r="X42" s="31" t="n"/>
      <c r="Y42" s="31" t="n"/>
      <c r="Z42" s="30" t="n"/>
      <c r="AA42" s="30" t="n"/>
      <c r="AB42" s="31" t="n"/>
      <c r="AC42" s="31" t="n"/>
      <c r="AD42" s="31" t="n"/>
      <c r="AE42" s="31" t="n"/>
      <c r="AF42" s="31" t="n"/>
      <c r="AG42" s="31" t="n"/>
      <c r="AH42" s="32" t="n"/>
      <c r="AI42" s="220" t="n"/>
      <c r="AJ42" s="220" t="n"/>
      <c r="AK42" s="220" t="n"/>
      <c r="AL42" s="220" t="n"/>
      <c r="AM42" s="220" t="n"/>
      <c r="AN42" s="220" t="n"/>
      <c r="AO42" s="220" t="n"/>
      <c r="AP42" s="220" t="n"/>
      <c r="AQ42" s="220" t="n"/>
      <c r="AR42" s="220" t="n"/>
      <c r="AS42" s="220" t="n"/>
      <c r="AT42" s="220" t="n"/>
      <c r="AU42" s="220" t="n"/>
      <c r="AV42" s="220" t="n"/>
      <c r="AW42" s="220" t="n"/>
      <c r="AX42" s="220" t="n"/>
      <c r="AY42" s="220" t="n"/>
      <c r="AZ42" s="220" t="n"/>
      <c r="BA42" s="220" t="n"/>
      <c r="BB42" s="220" t="n"/>
      <c r="BC42" s="220" t="n"/>
      <c r="BD42" s="220" t="n"/>
      <c r="BE42" s="220" t="n"/>
      <c r="BF42" s="220" t="n"/>
      <c r="BG42" s="220" t="n"/>
      <c r="BH42" s="220" t="n"/>
      <c r="BI42" s="220" t="n"/>
      <c r="BJ42" s="220" t="n"/>
      <c r="BK42" s="220" t="n"/>
      <c r="BL42" s="220" t="n"/>
      <c r="BM42" s="220" t="n"/>
      <c r="BN42" s="220" t="n"/>
      <c r="BO42" s="220" t="n"/>
      <c r="BP42" s="220" t="n"/>
    </row>
    <row r="43">
      <c r="A43" s="220" t="n"/>
      <c r="B43" s="250" t="inlineStr">
        <is>
          <t>Emilie</t>
        </is>
      </c>
      <c r="C43" s="247" t="n"/>
      <c r="D43" s="247" t="n"/>
      <c r="E43" s="247" t="n"/>
      <c r="F43" s="247" t="n"/>
      <c r="G43" s="247" t="n"/>
      <c r="H43" s="247" t="n"/>
      <c r="I43" s="247" t="n"/>
      <c r="J43" s="247" t="n"/>
      <c r="K43" s="247" t="n"/>
      <c r="L43" s="247" t="n"/>
      <c r="M43" s="247" t="n"/>
      <c r="N43" s="247" t="n"/>
      <c r="O43" s="149">
        <f>IFERROR(AVERAGE(Documentation_North[[#This Row],[Jan]:[Dec]]),"")</f>
        <v/>
      </c>
      <c r="P43" s="220" t="n"/>
      <c r="Q43" s="13" t="n">
        <v>4</v>
      </c>
      <c r="R43" s="14" t="n"/>
      <c r="S43" s="192" t="inlineStr">
        <is>
          <t>Very Good</t>
        </is>
      </c>
      <c r="V43" s="33" t="inlineStr">
        <is>
          <t>Generally responsive to admin. Most appointments scheduled and confirmed in a timely manner. Services entered in Zanda with occasional delays/minor errors. Travel mostly efficient.</t>
        </is>
      </c>
      <c r="W43" s="91" t="n"/>
      <c r="X43" s="220" t="n"/>
      <c r="Y43" s="220" t="n"/>
      <c r="Z43" s="91" t="n"/>
      <c r="AA43" s="91" t="n"/>
      <c r="AB43" s="220" t="n"/>
      <c r="AC43" s="220" t="n"/>
      <c r="AD43" s="220" t="n"/>
      <c r="AE43" s="220" t="n"/>
      <c r="AF43" s="220" t="n"/>
      <c r="AG43" s="220" t="n"/>
      <c r="AH43" s="34" t="n"/>
      <c r="AI43" s="220" t="n"/>
      <c r="AJ43" s="220" t="n"/>
      <c r="AK43" s="220" t="n"/>
      <c r="AL43" s="220" t="n"/>
      <c r="AM43" s="220" t="n"/>
      <c r="AN43" s="220" t="n"/>
      <c r="AO43" s="220" t="n"/>
      <c r="AP43" s="220" t="n"/>
      <c r="AQ43" s="220" t="n"/>
      <c r="AR43" s="220" t="n"/>
      <c r="AS43" s="220" t="n"/>
      <c r="AT43" s="220" t="n"/>
      <c r="AU43" s="220" t="n"/>
      <c r="AV43" s="220" t="n"/>
      <c r="AW43" s="220" t="n"/>
      <c r="AX43" s="220" t="n"/>
      <c r="AY43" s="220" t="n"/>
      <c r="AZ43" s="220" t="n"/>
      <c r="BA43" s="220" t="n"/>
      <c r="BB43" s="220" t="n"/>
      <c r="BC43" s="220" t="n"/>
      <c r="BD43" s="220" t="n"/>
      <c r="BE43" s="220" t="n"/>
      <c r="BF43" s="220" t="n"/>
      <c r="BG43" s="220" t="n"/>
      <c r="BH43" s="220" t="n"/>
      <c r="BI43" s="220" t="n"/>
      <c r="BJ43" s="220" t="n"/>
      <c r="BK43" s="220" t="n"/>
      <c r="BL43" s="220" t="n"/>
      <c r="BM43" s="220" t="n"/>
      <c r="BN43" s="220" t="n"/>
      <c r="BO43" s="220" t="n"/>
      <c r="BP43" s="220" t="n"/>
    </row>
    <row r="44">
      <c r="A44" s="220" t="n"/>
      <c r="B44" s="250" t="inlineStr">
        <is>
          <t>Eva</t>
        </is>
      </c>
      <c r="C44" s="247" t="n"/>
      <c r="D44" s="247" t="n"/>
      <c r="E44" s="247" t="n"/>
      <c r="F44" s="247" t="n"/>
      <c r="G44" s="247" t="n"/>
      <c r="H44" s="247" t="n"/>
      <c r="I44" s="247" t="n"/>
      <c r="J44" s="247" t="n"/>
      <c r="K44" s="247" t="n"/>
      <c r="L44" s="247" t="n"/>
      <c r="M44" s="247" t="n"/>
      <c r="N44" s="247" t="n"/>
      <c r="O44" s="149">
        <f>IFERROR(AVERAGE(Documentation_North[[#This Row],[Jan]:[Dec]]),"")</f>
        <v/>
      </c>
      <c r="P44" s="220" t="n"/>
      <c r="Q44" s="13" t="n">
        <v>3</v>
      </c>
      <c r="R44" s="14" t="n"/>
      <c r="S44" s="185" t="inlineStr">
        <is>
          <t>In Progress</t>
        </is>
      </c>
      <c r="V44" s="33" t="inlineStr">
        <is>
          <t>Moderately responsive to admin. Some delays/inconsistencies in appointment scheduling or confirmation. Zanda services entry late or incomplete. Travel planning can be improved.</t>
        </is>
      </c>
      <c r="W44" s="91" t="n"/>
      <c r="X44" s="220" t="n"/>
      <c r="Y44" s="220" t="n"/>
      <c r="Z44" s="91" t="n"/>
      <c r="AA44" s="91" t="n"/>
      <c r="AB44" s="220" t="n"/>
      <c r="AC44" s="220" t="n"/>
      <c r="AD44" s="220" t="n"/>
      <c r="AE44" s="220" t="n"/>
      <c r="AF44" s="220" t="n"/>
      <c r="AG44" s="220" t="n"/>
      <c r="AH44" s="34" t="n"/>
      <c r="AI44" s="220" t="n"/>
      <c r="AJ44" s="220" t="n"/>
      <c r="AK44" s="220" t="n"/>
      <c r="AL44" s="220" t="n"/>
      <c r="AM44" s="220" t="n"/>
      <c r="AN44" s="220" t="n"/>
      <c r="AO44" s="220" t="n"/>
      <c r="AP44" s="220" t="n"/>
      <c r="AQ44" s="220" t="n"/>
      <c r="AR44" s="220" t="n"/>
      <c r="AS44" s="220" t="n"/>
      <c r="AT44" s="220" t="n"/>
      <c r="AU44" s="220" t="n"/>
      <c r="AV44" s="220" t="n"/>
      <c r="AW44" s="220" t="n"/>
      <c r="AX44" s="220" t="n"/>
      <c r="AY44" s="220" t="n"/>
      <c r="AZ44" s="220" t="n"/>
      <c r="BA44" s="220" t="n"/>
      <c r="BB44" s="220" t="n"/>
      <c r="BC44" s="220" t="n"/>
      <c r="BD44" s="220" t="n"/>
      <c r="BE44" s="220" t="n"/>
      <c r="BF44" s="220" t="n"/>
      <c r="BG44" s="220" t="n"/>
      <c r="BH44" s="220" t="n"/>
      <c r="BI44" s="220" t="n"/>
      <c r="BJ44" s="220" t="n"/>
      <c r="BK44" s="220" t="n"/>
      <c r="BL44" s="220" t="n"/>
      <c r="BM44" s="220" t="n"/>
      <c r="BN44" s="220" t="n"/>
      <c r="BO44" s="220" t="n"/>
      <c r="BP44" s="220" t="n"/>
    </row>
    <row r="45" ht="14.45" customHeight="1">
      <c r="A45" s="220" t="n"/>
      <c r="B45" s="258" t="inlineStr">
        <is>
          <t>Jackson</t>
        </is>
      </c>
      <c r="C45" s="247" t="n"/>
      <c r="D45" s="247" t="n"/>
      <c r="E45" s="247" t="n"/>
      <c r="F45" s="247" t="n"/>
      <c r="G45" s="247" t="n"/>
      <c r="H45" s="247" t="n"/>
      <c r="I45" s="247" t="n"/>
      <c r="J45" s="247" t="n"/>
      <c r="K45" s="247" t="n"/>
      <c r="L45" s="247" t="n"/>
      <c r="M45" s="247" t="n"/>
      <c r="N45" s="247" t="n"/>
      <c r="O45" s="147">
        <f>IFERROR(AVERAGE(Documentation_North[[#This Row],[Jan]:[Dec]]),"")</f>
        <v/>
      </c>
      <c r="P45" s="220" t="n"/>
      <c r="Q45" s="13" t="n">
        <v>2</v>
      </c>
      <c r="R45" s="14" t="n"/>
      <c r="S45" s="182" t="inlineStr">
        <is>
          <t>Needs Improvement</t>
        </is>
      </c>
      <c r="V45" s="33" t="inlineStr">
        <is>
          <t>Slow response to admin. Appointments are frequently unconfirmed or poorly scheduled. Zanda service entry is inconsistent or late. Travel mostly inefficient.</t>
        </is>
      </c>
      <c r="W45" s="91" t="n"/>
      <c r="X45" s="220" t="n"/>
      <c r="Y45" s="220" t="n"/>
      <c r="Z45" s="91" t="n"/>
      <c r="AA45" s="91" t="n"/>
      <c r="AB45" s="220" t="n"/>
      <c r="AC45" s="220" t="n"/>
      <c r="AD45" s="220" t="n"/>
      <c r="AE45" s="220" t="n"/>
      <c r="AF45" s="220" t="n"/>
      <c r="AG45" s="220" t="n"/>
      <c r="AH45" s="34" t="n"/>
      <c r="AI45" s="220" t="n"/>
      <c r="AJ45" s="220" t="n"/>
      <c r="AK45" s="220" t="n"/>
      <c r="AL45" s="220" t="n"/>
      <c r="AM45" s="220" t="n"/>
      <c r="AN45" s="220" t="n"/>
      <c r="AO45" s="220" t="n"/>
      <c r="AP45" s="220" t="n"/>
      <c r="AQ45" s="220" t="n"/>
      <c r="AR45" s="220" t="n"/>
      <c r="AS45" s="220" t="n"/>
      <c r="AT45" s="220" t="n"/>
      <c r="AU45" s="220" t="n"/>
      <c r="AV45" s="220" t="n"/>
      <c r="AW45" s="220" t="n"/>
      <c r="AX45" s="220" t="n"/>
      <c r="AY45" s="220" t="n"/>
      <c r="AZ45" s="220" t="n"/>
      <c r="BA45" s="220" t="n"/>
      <c r="BB45" s="220" t="n"/>
      <c r="BC45" s="220" t="n"/>
      <c r="BD45" s="220" t="n"/>
      <c r="BE45" s="220" t="n"/>
      <c r="BF45" s="220" t="n"/>
      <c r="BG45" s="220" t="n"/>
      <c r="BH45" s="220" t="n"/>
      <c r="BI45" s="220" t="n"/>
      <c r="BJ45" s="220" t="n"/>
      <c r="BK45" s="220" t="n"/>
      <c r="BL45" s="220" t="n"/>
      <c r="BM45" s="220" t="n"/>
      <c r="BN45" s="220" t="n"/>
      <c r="BO45" s="220" t="n"/>
      <c r="BP45" s="220" t="n"/>
    </row>
    <row r="46" ht="15" customHeight="1">
      <c r="A46" s="220" t="n"/>
      <c r="B46" s="250" t="inlineStr">
        <is>
          <t>Jay</t>
        </is>
      </c>
      <c r="C46" s="247" t="n"/>
      <c r="D46" s="247" t="n"/>
      <c r="E46" s="247" t="n"/>
      <c r="F46" s="247" t="n"/>
      <c r="G46" s="247" t="n"/>
      <c r="H46" s="247" t="n"/>
      <c r="I46" s="247" t="n"/>
      <c r="J46" s="247" t="n"/>
      <c r="K46" s="247" t="n"/>
      <c r="L46" s="247" t="n"/>
      <c r="M46" s="247" t="n"/>
      <c r="N46" s="247" t="n"/>
      <c r="O46" s="147">
        <f>IFERROR(AVERAGE(Documentation_North[[#This Row],[Jan]:[Dec]]),"")</f>
        <v/>
      </c>
      <c r="P46" s="220" t="n"/>
      <c r="Q46" s="15" t="n">
        <v>1</v>
      </c>
      <c r="R46" s="16" t="n"/>
      <c r="S46" s="184" t="inlineStr">
        <is>
          <t>Unsatisfactory</t>
        </is>
      </c>
      <c r="T46" s="240" t="n"/>
      <c r="U46" s="240" t="n"/>
      <c r="V46" s="35" t="inlineStr">
        <is>
          <t>Rarely responds to admin. Appointments often missed, unconfirmed, or disorganised. Services not entered in Zanda. Travel inefficient.</t>
        </is>
      </c>
      <c r="W46" s="36" t="n"/>
      <c r="X46" s="36" t="n"/>
      <c r="Y46" s="36" t="n"/>
      <c r="Z46" s="36" t="n"/>
      <c r="AA46" s="36" t="n"/>
      <c r="AB46" s="37" t="n"/>
      <c r="AC46" s="37" t="n"/>
      <c r="AD46" s="37" t="n"/>
      <c r="AE46" s="37" t="n"/>
      <c r="AF46" s="37" t="n"/>
      <c r="AG46" s="37" t="n"/>
      <c r="AH46" s="38" t="n"/>
      <c r="AI46" s="220" t="n"/>
      <c r="AJ46" s="220" t="n"/>
      <c r="AK46" s="220" t="n"/>
      <c r="AL46" s="220" t="n"/>
      <c r="AM46" s="220" t="n"/>
      <c r="AN46" s="220" t="n"/>
      <c r="AO46" s="220" t="n"/>
      <c r="AP46" s="220" t="n"/>
      <c r="AQ46" s="220" t="n"/>
      <c r="AR46" s="220" t="n"/>
      <c r="AS46" s="220" t="n"/>
      <c r="AT46" s="220" t="n"/>
      <c r="AU46" s="220" t="n"/>
      <c r="AV46" s="220" t="n"/>
      <c r="AW46" s="220" t="n"/>
      <c r="AX46" s="220" t="n"/>
      <c r="AY46" s="220" t="n"/>
      <c r="AZ46" s="220" t="n"/>
      <c r="BA46" s="220" t="n"/>
      <c r="BB46" s="220" t="n"/>
      <c r="BC46" s="220" t="n"/>
      <c r="BD46" s="220" t="n"/>
      <c r="BE46" s="220" t="n"/>
      <c r="BF46" s="220" t="n"/>
      <c r="BG46" s="220" t="n"/>
      <c r="BH46" s="220" t="n"/>
      <c r="BI46" s="220" t="n"/>
      <c r="BJ46" s="220" t="n"/>
      <c r="BK46" s="220" t="n"/>
      <c r="BL46" s="220" t="n"/>
      <c r="BM46" s="220" t="n"/>
      <c r="BN46" s="220" t="n"/>
      <c r="BO46" s="220" t="n"/>
      <c r="BP46" s="220" t="n"/>
    </row>
    <row r="47">
      <c r="A47" s="220" t="n"/>
      <c r="B47" s="250" t="inlineStr">
        <is>
          <t>Jaymee</t>
        </is>
      </c>
      <c r="C47" s="247" t="n"/>
      <c r="D47" s="247" t="n"/>
      <c r="E47" s="247" t="n"/>
      <c r="F47" s="247" t="n"/>
      <c r="G47" s="247" t="n"/>
      <c r="H47" s="247" t="n"/>
      <c r="I47" s="247" t="n"/>
      <c r="J47" s="247" t="n"/>
      <c r="K47" s="247" t="n"/>
      <c r="L47" s="247" t="n"/>
      <c r="M47" s="247" t="n"/>
      <c r="N47" s="247" t="n"/>
      <c r="O47" s="147">
        <f>IFERROR(AVERAGE(Documentation_North[[#This Row],[Jan]:[Dec]]),"")</f>
        <v/>
      </c>
      <c r="P47" s="220" t="n"/>
      <c r="Q47" s="220" t="n"/>
      <c r="R47" s="220" t="n"/>
      <c r="S47" s="220" t="n"/>
      <c r="T47" s="220" t="n"/>
      <c r="U47" s="220" t="n"/>
      <c r="V47" s="220" t="n"/>
      <c r="W47" s="220" t="n"/>
      <c r="X47" s="220" t="n"/>
      <c r="Y47" s="220" t="n"/>
      <c r="Z47" s="91" t="n"/>
      <c r="AA47" s="91" t="n"/>
      <c r="AB47" s="220" t="n"/>
      <c r="AC47" s="220" t="n"/>
      <c r="AD47" s="220" t="n"/>
      <c r="AE47" s="220" t="n"/>
      <c r="AF47" s="220" t="n"/>
      <c r="AG47" s="220" t="n"/>
      <c r="AH47" s="220" t="n"/>
      <c r="AI47" s="220" t="n"/>
      <c r="AJ47" s="220" t="n"/>
      <c r="AK47" s="220" t="n"/>
      <c r="AL47" s="220" t="n"/>
      <c r="AM47" s="220" t="n"/>
      <c r="AN47" s="220" t="n"/>
      <c r="AO47" s="220" t="n"/>
      <c r="AP47" s="220" t="n"/>
      <c r="AQ47" s="220" t="n"/>
      <c r="AR47" s="220" t="n"/>
      <c r="AS47" s="220" t="n"/>
      <c r="AT47" s="220" t="n"/>
      <c r="AU47" s="220" t="n"/>
      <c r="AV47" s="220" t="n"/>
      <c r="AW47" s="220" t="n"/>
      <c r="AX47" s="220" t="n"/>
      <c r="AY47" s="220" t="n"/>
      <c r="AZ47" s="220" t="n"/>
      <c r="BA47" s="220" t="n"/>
      <c r="BB47" s="220" t="n"/>
      <c r="BC47" s="220" t="n"/>
      <c r="BD47" s="220" t="n"/>
      <c r="BE47" s="220" t="n"/>
      <c r="BF47" s="220" t="n"/>
      <c r="BG47" s="220" t="n"/>
      <c r="BH47" s="220" t="n"/>
      <c r="BI47" s="220" t="n"/>
      <c r="BJ47" s="220" t="n"/>
      <c r="BK47" s="220" t="n"/>
      <c r="BL47" s="220" t="n"/>
      <c r="BM47" s="220" t="n"/>
      <c r="BN47" s="220" t="n"/>
      <c r="BO47" s="220" t="n"/>
      <c r="BP47" s="220" t="n"/>
    </row>
    <row r="48">
      <c r="A48" s="220" t="n"/>
      <c r="B48" s="220" t="n"/>
      <c r="C48" s="94" t="n"/>
      <c r="D48" s="94" t="n"/>
      <c r="E48" s="94" t="n"/>
      <c r="F48" s="94" t="n"/>
      <c r="G48" s="94" t="n"/>
      <c r="H48" s="94" t="n"/>
      <c r="I48" s="94" t="n"/>
      <c r="J48" s="94" t="n"/>
      <c r="K48" s="94" t="n"/>
      <c r="L48" s="94" t="n"/>
      <c r="M48" s="94" t="n"/>
      <c r="N48" s="94" t="n"/>
      <c r="O48" s="94" t="n"/>
      <c r="P48" s="220" t="n"/>
      <c r="Q48" s="220" t="n"/>
      <c r="R48" s="220" t="n"/>
      <c r="S48" s="220" t="n"/>
      <c r="T48" s="220" t="n"/>
      <c r="U48" s="220" t="n"/>
      <c r="V48" s="91" t="n"/>
      <c r="W48" s="91" t="n"/>
      <c r="X48" s="220" t="n"/>
      <c r="Y48" s="220" t="n"/>
      <c r="Z48" s="220" t="n"/>
      <c r="AA48" s="220" t="n"/>
      <c r="AB48" s="220" t="n"/>
      <c r="AC48" s="220" t="n"/>
      <c r="AD48" s="220" t="n"/>
      <c r="AE48" s="220" t="n"/>
      <c r="AF48" s="220" t="n"/>
      <c r="AG48" s="220" t="n"/>
      <c r="AH48" s="220" t="n"/>
      <c r="AI48" s="220" t="n"/>
      <c r="AJ48" s="220" t="n"/>
      <c r="AK48" s="220" t="n"/>
      <c r="AL48" s="220" t="n"/>
      <c r="AM48" s="220" t="n"/>
      <c r="AN48" s="220" t="n"/>
      <c r="AO48" s="220" t="n"/>
      <c r="AP48" s="220" t="n"/>
      <c r="AQ48" s="220" t="n"/>
      <c r="AR48" s="220" t="n"/>
      <c r="AS48" s="220" t="n"/>
      <c r="AT48" s="220" t="n"/>
      <c r="AU48" s="220" t="n"/>
      <c r="AV48" s="220" t="n"/>
      <c r="AW48" s="220" t="n"/>
      <c r="AX48" s="220" t="n"/>
      <c r="AY48" s="220" t="n"/>
      <c r="AZ48" s="220" t="n"/>
      <c r="BA48" s="220" t="n"/>
      <c r="BB48" s="220" t="n"/>
      <c r="BC48" s="220" t="n"/>
      <c r="BD48" s="220" t="n"/>
      <c r="BE48" s="220" t="n"/>
      <c r="BF48" s="220" t="n"/>
      <c r="BG48" s="220" t="n"/>
      <c r="BH48" s="220" t="n"/>
      <c r="BI48" s="220" t="n"/>
      <c r="BJ48" s="220" t="n"/>
      <c r="BK48" s="220" t="n"/>
      <c r="BL48" s="220" t="n"/>
      <c r="BM48" s="220" t="n"/>
      <c r="BN48" s="220" t="n"/>
      <c r="BO48" s="220" t="n"/>
      <c r="BP48" s="220" t="n"/>
    </row>
    <row r="49">
      <c r="A49" s="220" t="n"/>
      <c r="B49" s="88" t="inlineStr">
        <is>
          <t>Admin &amp; Operational Efficiency</t>
        </is>
      </c>
      <c r="C49" s="133" t="inlineStr">
        <is>
          <t>Jan</t>
        </is>
      </c>
      <c r="D49" s="133" t="inlineStr">
        <is>
          <t>Feb</t>
        </is>
      </c>
      <c r="E49" s="133" t="inlineStr">
        <is>
          <t>Mar</t>
        </is>
      </c>
      <c r="F49" s="133" t="inlineStr">
        <is>
          <t>Apr</t>
        </is>
      </c>
      <c r="G49" s="133" t="inlineStr">
        <is>
          <t>May</t>
        </is>
      </c>
      <c r="H49" s="133" t="inlineStr">
        <is>
          <t>June</t>
        </is>
      </c>
      <c r="I49" s="133" t="inlineStr">
        <is>
          <t>July</t>
        </is>
      </c>
      <c r="J49" s="133" t="inlineStr">
        <is>
          <t>Aug</t>
        </is>
      </c>
      <c r="K49" s="133" t="inlineStr">
        <is>
          <t>Sept</t>
        </is>
      </c>
      <c r="L49" s="133" t="inlineStr">
        <is>
          <t>Oct</t>
        </is>
      </c>
      <c r="M49" s="133" t="inlineStr">
        <is>
          <t>Nov</t>
        </is>
      </c>
      <c r="N49" s="133" t="inlineStr">
        <is>
          <t>Dec</t>
        </is>
      </c>
      <c r="O49" s="133" t="inlineStr">
        <is>
          <t>Average</t>
        </is>
      </c>
      <c r="P49" s="220" t="n"/>
      <c r="Q49" s="177" t="inlineStr">
        <is>
          <t>Attitude, Learning, Collaboration &amp; Client Impact</t>
        </is>
      </c>
      <c r="R49" s="221" t="n"/>
      <c r="S49" s="221" t="n"/>
      <c r="T49" s="221" t="n"/>
      <c r="U49" s="222" t="n"/>
      <c r="V49" s="91" t="n"/>
      <c r="W49" s="91" t="n"/>
      <c r="X49" s="91" t="n"/>
      <c r="Y49" s="91" t="n"/>
      <c r="Z49" s="91" t="n"/>
      <c r="AA49" s="91" t="n"/>
      <c r="AB49" s="220" t="n"/>
      <c r="AC49" s="220" t="n"/>
      <c r="AD49" s="220" t="n"/>
      <c r="AE49" s="220" t="n"/>
      <c r="AF49" s="220" t="n"/>
      <c r="AG49" s="220" t="n"/>
      <c r="AH49" s="220" t="n"/>
      <c r="AI49" s="220" t="n"/>
      <c r="AJ49" s="220" t="n"/>
      <c r="AK49" s="220" t="n"/>
      <c r="AL49" s="220" t="n"/>
      <c r="AM49" s="220" t="n"/>
      <c r="AN49" s="220" t="n"/>
      <c r="AO49" s="220" t="n"/>
      <c r="AP49" s="220" t="n"/>
      <c r="AQ49" s="220" t="n"/>
      <c r="AR49" s="220" t="n"/>
      <c r="AS49" s="220" t="n"/>
      <c r="AT49" s="220" t="n"/>
      <c r="AU49" s="220" t="n"/>
      <c r="AV49" s="220" t="n"/>
      <c r="AW49" s="220" t="n"/>
      <c r="AX49" s="220" t="n"/>
      <c r="AY49" s="220" t="n"/>
      <c r="AZ49" s="220" t="n"/>
      <c r="BA49" s="220" t="n"/>
      <c r="BB49" s="220" t="n"/>
      <c r="BC49" s="220" t="n"/>
      <c r="BD49" s="220" t="n"/>
      <c r="BE49" s="220" t="n"/>
      <c r="BF49" s="220" t="n"/>
      <c r="BG49" s="220" t="n"/>
      <c r="BH49" s="220" t="n"/>
      <c r="BI49" s="220" t="n"/>
      <c r="BJ49" s="220" t="n"/>
      <c r="BK49" s="220" t="n"/>
      <c r="BL49" s="220" t="n"/>
      <c r="BM49" s="220" t="n"/>
      <c r="BN49" s="220" t="n"/>
      <c r="BO49" s="220" t="n"/>
      <c r="BP49" s="220" t="n"/>
    </row>
    <row r="50">
      <c r="A50" s="220" t="n"/>
      <c r="B50" s="250" t="inlineStr">
        <is>
          <t>Marco</t>
        </is>
      </c>
      <c r="C50" s="247" t="n"/>
      <c r="D50" s="247" t="n"/>
      <c r="E50" s="247" t="n"/>
      <c r="F50" s="247" t="n"/>
      <c r="G50" s="247" t="n"/>
      <c r="H50" s="247" t="n"/>
      <c r="I50" s="247" t="n"/>
      <c r="J50" s="247" t="n"/>
      <c r="K50" s="247" t="n"/>
      <c r="L50" s="247" t="n"/>
      <c r="M50" s="247" t="n"/>
      <c r="N50" s="247" t="n"/>
      <c r="O50" s="147">
        <f>IFERROR(AVERAGE(Admin_North[[#This Row],[Jan]:[Dec]]),"")</f>
        <v/>
      </c>
      <c r="P50" s="220" t="n"/>
      <c r="Q50" s="198" t="inlineStr">
        <is>
          <t>Focuses on attitude, growth, team-first mindset, idea-sharing, and collaboration with OTs.</t>
        </is>
      </c>
      <c r="R50" s="236" t="n"/>
      <c r="S50" s="236" t="n"/>
      <c r="T50" s="236" t="n"/>
      <c r="U50" s="231" t="n"/>
      <c r="V50" s="91" t="n"/>
      <c r="W50" s="91" t="n"/>
      <c r="X50" s="91" t="n"/>
      <c r="Y50" s="91" t="n"/>
      <c r="Z50" s="91" t="n"/>
      <c r="AA50" s="91" t="n"/>
      <c r="AB50" s="220" t="n"/>
      <c r="AC50" s="220" t="n"/>
      <c r="AD50" s="220" t="n"/>
      <c r="AE50" s="220" t="n"/>
      <c r="AF50" s="220" t="n"/>
      <c r="AG50" s="220" t="n"/>
      <c r="AH50" s="220" t="n"/>
      <c r="AI50" s="220" t="n"/>
      <c r="AJ50" s="220" t="n"/>
      <c r="AK50" s="220" t="n"/>
      <c r="AL50" s="220" t="n"/>
      <c r="AM50" s="220" t="n"/>
      <c r="AN50" s="220" t="n"/>
      <c r="AO50" s="220" t="n"/>
      <c r="AP50" s="220" t="n"/>
      <c r="AQ50" s="220" t="n"/>
      <c r="AR50" s="220" t="n"/>
      <c r="AS50" s="220" t="n"/>
      <c r="AT50" s="220" t="n"/>
      <c r="AU50" s="220" t="n"/>
      <c r="AV50" s="220" t="n"/>
      <c r="AW50" s="220" t="n"/>
      <c r="AX50" s="220" t="n"/>
      <c r="AY50" s="220" t="n"/>
      <c r="AZ50" s="220" t="n"/>
      <c r="BA50" s="220" t="n"/>
      <c r="BB50" s="220" t="n"/>
      <c r="BC50" s="220" t="n"/>
      <c r="BD50" s="220" t="n"/>
      <c r="BE50" s="220" t="n"/>
      <c r="BF50" s="220" t="n"/>
      <c r="BG50" s="220" t="n"/>
      <c r="BH50" s="220" t="n"/>
      <c r="BI50" s="220" t="n"/>
      <c r="BJ50" s="220" t="n"/>
      <c r="BK50" s="220" t="n"/>
      <c r="BL50" s="220" t="n"/>
      <c r="BM50" s="220" t="n"/>
      <c r="BN50" s="220" t="n"/>
      <c r="BO50" s="220" t="n"/>
      <c r="BP50" s="220" t="n"/>
    </row>
    <row r="51">
      <c r="A51" s="220" t="n"/>
      <c r="B51" s="250" t="inlineStr">
        <is>
          <t>Danny</t>
        </is>
      </c>
      <c r="C51" s="247" t="n"/>
      <c r="D51" s="247" t="n"/>
      <c r="E51" s="247" t="n"/>
      <c r="F51" s="247" t="n"/>
      <c r="G51" s="247" t="n"/>
      <c r="H51" s="247" t="n"/>
      <c r="I51" s="247" t="n"/>
      <c r="J51" s="247" t="n"/>
      <c r="K51" s="247" t="n"/>
      <c r="L51" s="247" t="n"/>
      <c r="M51" s="247" t="n"/>
      <c r="N51" s="247" t="n"/>
      <c r="O51" s="147">
        <f>IFERROR(AVERAGE(Admin_North[[#This Row],[Jan]:[Dec]]),"")</f>
        <v/>
      </c>
      <c r="P51" s="220" t="n"/>
      <c r="Q51" s="11" t="n">
        <v>5</v>
      </c>
      <c r="R51" s="12" t="n"/>
      <c r="S51" s="181" t="inlineStr">
        <is>
          <t>Excellent</t>
        </is>
      </c>
      <c r="T51" s="236" t="n"/>
      <c r="U51" s="236" t="n"/>
      <c r="V51" s="29" t="inlineStr">
        <is>
          <t>Positive, engaged, always learning. Consistently team-first, contributes ideas, and collaborates proactively with OTs (e.g. internal referrals, joint planning).</t>
        </is>
      </c>
      <c r="W51" s="30" t="n"/>
      <c r="X51" s="30" t="n"/>
      <c r="Y51" s="30" t="n"/>
      <c r="Z51" s="30" t="n"/>
      <c r="AA51" s="30" t="n"/>
      <c r="AB51" s="31" t="n"/>
      <c r="AC51" s="31" t="n"/>
      <c r="AD51" s="31" t="n"/>
      <c r="AE51" s="31" t="n"/>
      <c r="AF51" s="31" t="n"/>
      <c r="AG51" s="31" t="n"/>
      <c r="AH51" s="32" t="n"/>
      <c r="AI51" s="220" t="n"/>
      <c r="AJ51" s="220" t="n"/>
      <c r="AK51" s="220" t="n"/>
      <c r="AL51" s="220" t="n"/>
      <c r="AM51" s="220" t="n"/>
      <c r="AN51" s="220" t="n"/>
      <c r="AO51" s="220" t="n"/>
      <c r="AP51" s="220" t="n"/>
      <c r="AQ51" s="220" t="n"/>
      <c r="AR51" s="220" t="n"/>
      <c r="AS51" s="220" t="n"/>
      <c r="AT51" s="220" t="n"/>
      <c r="AU51" s="220" t="n"/>
      <c r="AV51" s="220" t="n"/>
      <c r="AW51" s="220" t="n"/>
      <c r="AX51" s="220" t="n"/>
      <c r="AY51" s="220" t="n"/>
      <c r="AZ51" s="220" t="n"/>
      <c r="BA51" s="220" t="n"/>
      <c r="BB51" s="220" t="n"/>
      <c r="BC51" s="220" t="n"/>
      <c r="BD51" s="220" t="n"/>
      <c r="BE51" s="220" t="n"/>
      <c r="BF51" s="220" t="n"/>
      <c r="BG51" s="220" t="n"/>
      <c r="BH51" s="220" t="n"/>
      <c r="BI51" s="220" t="n"/>
      <c r="BJ51" s="220" t="n"/>
      <c r="BK51" s="220" t="n"/>
      <c r="BL51" s="220" t="n"/>
      <c r="BM51" s="220" t="n"/>
      <c r="BN51" s="220" t="n"/>
      <c r="BO51" s="220" t="n"/>
      <c r="BP51" s="220" t="n"/>
    </row>
    <row r="52">
      <c r="A52" s="220" t="n"/>
      <c r="B52" s="250" t="inlineStr">
        <is>
          <t>Alice</t>
        </is>
      </c>
      <c r="C52" s="247" t="n"/>
      <c r="D52" s="247" t="n"/>
      <c r="E52" s="247" t="n"/>
      <c r="F52" s="247" t="n"/>
      <c r="G52" s="247" t="n"/>
      <c r="H52" s="247" t="n"/>
      <c r="I52" s="247" t="n"/>
      <c r="J52" s="247" t="n"/>
      <c r="K52" s="247" t="n"/>
      <c r="L52" s="247" t="n"/>
      <c r="M52" s="247" t="n"/>
      <c r="N52" s="247" t="n"/>
      <c r="O52" s="147">
        <f>IFERROR(AVERAGE(Admin_North[[#This Row],[Jan]:[Dec]]),"")</f>
        <v/>
      </c>
      <c r="P52" s="220" t="n"/>
      <c r="Q52" s="13" t="n">
        <v>4</v>
      </c>
      <c r="R52" s="14" t="n"/>
      <c r="S52" s="192" t="inlineStr">
        <is>
          <t>Very Good</t>
        </is>
      </c>
      <c r="V52" s="33" t="inlineStr">
        <is>
          <t>Reliable, team-focused, open to learning, shares ideas occasionally, and collaborates with OTs when asked.</t>
        </is>
      </c>
      <c r="W52" s="91" t="n"/>
      <c r="X52" s="91" t="n"/>
      <c r="Y52" s="91" t="n"/>
      <c r="Z52" s="91" t="n"/>
      <c r="AA52" s="91" t="n"/>
      <c r="AB52" s="220" t="n"/>
      <c r="AC52" s="220" t="n"/>
      <c r="AD52" s="220" t="n"/>
      <c r="AE52" s="220" t="n"/>
      <c r="AF52" s="220" t="n"/>
      <c r="AG52" s="220" t="n"/>
      <c r="AH52" s="34" t="n"/>
      <c r="AI52" s="220" t="n"/>
      <c r="AJ52" s="220" t="n"/>
      <c r="AK52" s="220" t="n"/>
      <c r="AL52" s="220" t="n"/>
      <c r="AM52" s="220" t="n"/>
      <c r="AN52" s="220" t="n"/>
      <c r="AO52" s="220" t="n"/>
      <c r="AP52" s="220" t="n"/>
      <c r="AQ52" s="220" t="n"/>
      <c r="AR52" s="220" t="n"/>
      <c r="AS52" s="220" t="n"/>
      <c r="AT52" s="220" t="n"/>
      <c r="AU52" s="220" t="n"/>
      <c r="AV52" s="220" t="n"/>
      <c r="AW52" s="220" t="n"/>
      <c r="AX52" s="220" t="n"/>
      <c r="AY52" s="220" t="n"/>
      <c r="AZ52" s="220" t="n"/>
      <c r="BA52" s="220" t="n"/>
      <c r="BB52" s="220" t="n"/>
      <c r="BC52" s="220" t="n"/>
      <c r="BD52" s="220" t="n"/>
      <c r="BE52" s="220" t="n"/>
      <c r="BF52" s="220" t="n"/>
      <c r="BG52" s="220" t="n"/>
      <c r="BH52" s="220" t="n"/>
      <c r="BI52" s="220" t="n"/>
      <c r="BJ52" s="220" t="n"/>
      <c r="BK52" s="220" t="n"/>
      <c r="BL52" s="220" t="n"/>
      <c r="BM52" s="220" t="n"/>
      <c r="BN52" s="220" t="n"/>
      <c r="BO52" s="220" t="n"/>
      <c r="BP52" s="220" t="n"/>
    </row>
    <row r="53">
      <c r="A53" s="220" t="n"/>
      <c r="B53" s="250" t="inlineStr">
        <is>
          <t>April</t>
        </is>
      </c>
      <c r="C53" s="247" t="n"/>
      <c r="D53" s="247" t="n"/>
      <c r="E53" s="247" t="n"/>
      <c r="F53" s="247" t="n"/>
      <c r="G53" s="247" t="n"/>
      <c r="H53" s="247" t="n"/>
      <c r="I53" s="247" t="n"/>
      <c r="J53" s="247" t="n"/>
      <c r="K53" s="247" t="n"/>
      <c r="L53" s="247" t="n"/>
      <c r="M53" s="247" t="n"/>
      <c r="N53" s="247" t="n"/>
      <c r="O53" s="147">
        <f>IFERROR(AVERAGE(Admin_North[[#This Row],[Jan]:[Dec]]),"")</f>
        <v/>
      </c>
      <c r="P53" s="220" t="n"/>
      <c r="Q53" s="13" t="n">
        <v>3</v>
      </c>
      <c r="R53" s="14" t="n"/>
      <c r="S53" s="185" t="inlineStr">
        <is>
          <t>In Progress</t>
        </is>
      </c>
      <c r="V53" s="33" t="inlineStr">
        <is>
          <t>Generally positive with a team mindset. Contributes but may need prompting to share ideas or engage with OTs.</t>
        </is>
      </c>
      <c r="W53" s="91" t="n"/>
      <c r="X53" s="91" t="n"/>
      <c r="Y53" s="91" t="n"/>
      <c r="Z53" s="91" t="n"/>
      <c r="AA53" s="91" t="n"/>
      <c r="AB53" s="220" t="n"/>
      <c r="AC53" s="220" t="n"/>
      <c r="AD53" s="220" t="n"/>
      <c r="AE53" s="220" t="n"/>
      <c r="AF53" s="220" t="n"/>
      <c r="AG53" s="220" t="n"/>
      <c r="AH53" s="34" t="n"/>
      <c r="AI53" s="220" t="n"/>
      <c r="AJ53" s="220" t="n"/>
      <c r="AK53" s="220" t="n"/>
      <c r="AL53" s="220" t="n"/>
      <c r="AM53" s="220" t="n"/>
      <c r="AN53" s="220" t="n"/>
      <c r="AO53" s="220" t="n"/>
      <c r="AP53" s="220" t="n"/>
      <c r="AQ53" s="220" t="n"/>
      <c r="AR53" s="220" t="n"/>
      <c r="AS53" s="220" t="n"/>
      <c r="AT53" s="220" t="n"/>
      <c r="AU53" s="220" t="n"/>
      <c r="AV53" s="220" t="n"/>
      <c r="AW53" s="220" t="n"/>
      <c r="AX53" s="220" t="n"/>
      <c r="AY53" s="220" t="n"/>
      <c r="AZ53" s="220" t="n"/>
      <c r="BA53" s="220" t="n"/>
      <c r="BB53" s="220" t="n"/>
      <c r="BC53" s="220" t="n"/>
      <c r="BD53" s="220" t="n"/>
      <c r="BE53" s="220" t="n"/>
      <c r="BF53" s="220" t="n"/>
      <c r="BG53" s="220" t="n"/>
      <c r="BH53" s="220" t="n"/>
      <c r="BI53" s="220" t="n"/>
      <c r="BJ53" s="220" t="n"/>
      <c r="BK53" s="220" t="n"/>
      <c r="BL53" s="220" t="n"/>
      <c r="BM53" s="220" t="n"/>
      <c r="BN53" s="220" t="n"/>
      <c r="BO53" s="220" t="n"/>
      <c r="BP53" s="220" t="n"/>
    </row>
    <row r="54">
      <c r="A54" s="220" t="n"/>
      <c r="B54" s="250" t="inlineStr">
        <is>
          <t>Chris</t>
        </is>
      </c>
      <c r="C54" s="247" t="n"/>
      <c r="D54" s="247" t="n"/>
      <c r="E54" s="247" t="n"/>
      <c r="F54" s="247" t="n"/>
      <c r="G54" s="247" t="n"/>
      <c r="H54" s="247" t="n"/>
      <c r="I54" s="247" t="n"/>
      <c r="J54" s="247" t="n"/>
      <c r="K54" s="247" t="n"/>
      <c r="L54" s="247" t="n"/>
      <c r="M54" s="247" t="n"/>
      <c r="N54" s="247" t="n"/>
      <c r="O54" s="147">
        <f>IFERROR(AVERAGE(Admin_North[[#This Row],[Jan]:[Dec]]),"")</f>
        <v/>
      </c>
      <c r="P54" s="220" t="n"/>
      <c r="Q54" s="13" t="n">
        <v>2</v>
      </c>
      <c r="R54" s="14" t="n"/>
      <c r="S54" s="182" t="inlineStr">
        <is>
          <t>Needs Improvement</t>
        </is>
      </c>
      <c r="V54" s="33" t="inlineStr">
        <is>
          <t>Inconsistent engagement. Limited learning, team contribution, idea-sharing, or collaboration.</t>
        </is>
      </c>
      <c r="W54" s="91" t="n"/>
      <c r="X54" s="91" t="n"/>
      <c r="Y54" s="91" t="n"/>
      <c r="Z54" s="91" t="n"/>
      <c r="AA54" s="91" t="n"/>
      <c r="AB54" s="220" t="n"/>
      <c r="AC54" s="220" t="n"/>
      <c r="AD54" s="220" t="n"/>
      <c r="AE54" s="220" t="n"/>
      <c r="AF54" s="220" t="n"/>
      <c r="AG54" s="220" t="n"/>
      <c r="AH54" s="34" t="n"/>
      <c r="AI54" s="220" t="n"/>
      <c r="AJ54" s="220" t="n"/>
      <c r="AK54" s="220" t="n"/>
      <c r="AL54" s="220" t="n"/>
      <c r="AM54" s="220" t="n"/>
      <c r="AN54" s="220" t="n"/>
      <c r="AO54" s="220" t="n"/>
      <c r="AP54" s="220" t="n"/>
      <c r="AQ54" s="220" t="n"/>
      <c r="AR54" s="220" t="n"/>
      <c r="AS54" s="220" t="n"/>
      <c r="AT54" s="220" t="n"/>
      <c r="AU54" s="220" t="n"/>
      <c r="AV54" s="220" t="n"/>
      <c r="AW54" s="220" t="n"/>
      <c r="AX54" s="220" t="n"/>
      <c r="AY54" s="220" t="n"/>
      <c r="AZ54" s="220" t="n"/>
      <c r="BA54" s="220" t="n"/>
      <c r="BB54" s="220" t="n"/>
      <c r="BC54" s="220" t="n"/>
      <c r="BD54" s="220" t="n"/>
      <c r="BE54" s="220" t="n"/>
      <c r="BF54" s="220" t="n"/>
      <c r="BG54" s="220" t="n"/>
      <c r="BH54" s="220" t="n"/>
      <c r="BI54" s="220" t="n"/>
      <c r="BJ54" s="220" t="n"/>
      <c r="BK54" s="220" t="n"/>
      <c r="BL54" s="220" t="n"/>
      <c r="BM54" s="220" t="n"/>
      <c r="BN54" s="220" t="n"/>
      <c r="BO54" s="220" t="n"/>
      <c r="BP54" s="220" t="n"/>
    </row>
    <row r="55" ht="15" customHeight="1">
      <c r="A55" s="220" t="n"/>
      <c r="B55" s="250" t="inlineStr">
        <is>
          <t>Emilie</t>
        </is>
      </c>
      <c r="C55" s="247" t="n"/>
      <c r="D55" s="247" t="n"/>
      <c r="E55" s="247" t="n"/>
      <c r="F55" s="247" t="n"/>
      <c r="G55" s="247" t="n"/>
      <c r="H55" s="247" t="n"/>
      <c r="I55" s="247" t="n"/>
      <c r="J55" s="247" t="n"/>
      <c r="K55" s="247" t="n"/>
      <c r="L55" s="247" t="n"/>
      <c r="M55" s="247" t="n"/>
      <c r="N55" s="247" t="n"/>
      <c r="O55" s="149">
        <f>IFERROR(AVERAGE(Admin_North[[#This Row],[Jan]:[Dec]]),"")</f>
        <v/>
      </c>
      <c r="P55" s="220" t="n"/>
      <c r="Q55" s="15" t="n">
        <v>1</v>
      </c>
      <c r="R55" s="16" t="n"/>
      <c r="S55" s="184" t="inlineStr">
        <is>
          <t>Unsatisfactory</t>
        </is>
      </c>
      <c r="T55" s="240" t="n"/>
      <c r="U55" s="240" t="n"/>
      <c r="V55" s="35" t="inlineStr">
        <is>
          <t>Rarely team-focused. Minimal growth, idea-sharing, or collaboration with others.</t>
        </is>
      </c>
      <c r="W55" s="36" t="n"/>
      <c r="X55" s="36" t="n"/>
      <c r="Y55" s="36" t="n"/>
      <c r="Z55" s="36" t="n"/>
      <c r="AA55" s="36" t="n"/>
      <c r="AB55" s="37" t="n"/>
      <c r="AC55" s="37" t="n"/>
      <c r="AD55" s="37" t="n"/>
      <c r="AE55" s="37" t="n"/>
      <c r="AF55" s="37" t="n"/>
      <c r="AG55" s="37" t="n"/>
      <c r="AH55" s="38" t="n"/>
      <c r="AI55" s="220" t="n"/>
      <c r="AJ55" s="220" t="n"/>
      <c r="AK55" s="220" t="n"/>
      <c r="AL55" s="220" t="n"/>
      <c r="AM55" s="220" t="n"/>
      <c r="AN55" s="220" t="n"/>
      <c r="AO55" s="220" t="n"/>
      <c r="AP55" s="220" t="n"/>
      <c r="AQ55" s="220" t="n"/>
      <c r="AR55" s="220" t="n"/>
      <c r="AS55" s="220" t="n"/>
      <c r="AT55" s="220" t="n"/>
      <c r="AU55" s="220" t="n"/>
      <c r="AV55" s="220" t="n"/>
      <c r="AW55" s="220" t="n"/>
      <c r="AX55" s="220" t="n"/>
      <c r="AY55" s="220" t="n"/>
      <c r="AZ55" s="220" t="n"/>
      <c r="BA55" s="220" t="n"/>
      <c r="BB55" s="220" t="n"/>
      <c r="BC55" s="220" t="n"/>
      <c r="BD55" s="220" t="n"/>
      <c r="BE55" s="220" t="n"/>
      <c r="BF55" s="220" t="n"/>
      <c r="BG55" s="220" t="n"/>
      <c r="BH55" s="220" t="n"/>
      <c r="BI55" s="220" t="n"/>
      <c r="BJ55" s="220" t="n"/>
      <c r="BK55" s="220" t="n"/>
      <c r="BL55" s="220" t="n"/>
      <c r="BM55" s="220" t="n"/>
      <c r="BN55" s="220" t="n"/>
      <c r="BO55" s="220" t="n"/>
      <c r="BP55" s="220" t="n"/>
    </row>
    <row r="56" ht="15" customHeight="1">
      <c r="A56" s="220" t="n"/>
      <c r="B56" s="250" t="inlineStr">
        <is>
          <t>Eva</t>
        </is>
      </c>
      <c r="C56" s="247" t="n"/>
      <c r="D56" s="247" t="n"/>
      <c r="E56" s="247" t="n"/>
      <c r="F56" s="247" t="n"/>
      <c r="G56" s="247" t="n"/>
      <c r="H56" s="247" t="n"/>
      <c r="I56" s="247" t="n"/>
      <c r="J56" s="247" t="n"/>
      <c r="K56" s="247" t="n"/>
      <c r="L56" s="247" t="n"/>
      <c r="M56" s="247" t="n"/>
      <c r="N56" s="247" t="n"/>
      <c r="O56" s="149">
        <f>IFERROR(AVERAGE(Admin_North[[#This Row],[Jan]:[Dec]]),"")</f>
        <v/>
      </c>
      <c r="P56" s="220" t="n"/>
      <c r="Q56" s="220" t="n"/>
      <c r="R56" s="220" t="n"/>
      <c r="S56" s="220" t="n"/>
      <c r="T56" s="220" t="n"/>
      <c r="U56" s="220" t="n"/>
      <c r="V56" s="220" t="n"/>
      <c r="W56" s="220" t="n"/>
      <c r="X56" s="220" t="n"/>
      <c r="Y56" s="91" t="n"/>
      <c r="Z56" s="91" t="n"/>
      <c r="AA56" s="91" t="n"/>
      <c r="AB56" s="220" t="n"/>
      <c r="AC56" s="220" t="n"/>
      <c r="AD56" s="220" t="n"/>
      <c r="AE56" s="220" t="n"/>
      <c r="AF56" s="220" t="n"/>
      <c r="AG56" s="220" t="n"/>
      <c r="AH56" s="220" t="n"/>
      <c r="AI56" s="220" t="n"/>
      <c r="AJ56" s="220" t="n"/>
      <c r="AK56" s="220" t="n"/>
      <c r="AL56" s="220" t="n"/>
      <c r="AM56" s="220" t="n"/>
      <c r="AN56" s="220" t="n"/>
      <c r="AO56" s="220" t="n"/>
      <c r="AP56" s="220" t="n"/>
      <c r="AQ56" s="220" t="n"/>
      <c r="AR56" s="220" t="n"/>
      <c r="AS56" s="220" t="n"/>
      <c r="AT56" s="220" t="n"/>
      <c r="AU56" s="220" t="n"/>
      <c r="AV56" s="220" t="n"/>
      <c r="AW56" s="220" t="n"/>
      <c r="AX56" s="220" t="n"/>
      <c r="AY56" s="220" t="n"/>
      <c r="AZ56" s="220" t="n"/>
      <c r="BA56" s="220" t="n"/>
      <c r="BB56" s="220" t="n"/>
      <c r="BC56" s="220" t="n"/>
      <c r="BD56" s="220" t="n"/>
      <c r="BE56" s="220" t="n"/>
      <c r="BF56" s="220" t="n"/>
      <c r="BG56" s="220" t="n"/>
      <c r="BH56" s="220" t="n"/>
      <c r="BI56" s="220" t="n"/>
      <c r="BJ56" s="220" t="n"/>
      <c r="BK56" s="220" t="n"/>
      <c r="BL56" s="220" t="n"/>
      <c r="BM56" s="220" t="n"/>
      <c r="BN56" s="220" t="n"/>
      <c r="BO56" s="220" t="n"/>
      <c r="BP56" s="220" t="n"/>
    </row>
    <row r="57" ht="15" customHeight="1">
      <c r="A57" s="220" t="n"/>
      <c r="B57" s="258" t="inlineStr">
        <is>
          <t>Jackson</t>
        </is>
      </c>
      <c r="C57" s="249" t="n"/>
      <c r="D57" s="249" t="n"/>
      <c r="E57" s="249" t="n"/>
      <c r="F57" s="249" t="n"/>
      <c r="G57" s="247" t="n"/>
      <c r="H57" s="247" t="n"/>
      <c r="I57" s="247" t="n"/>
      <c r="J57" s="247" t="n"/>
      <c r="K57" s="247" t="n"/>
      <c r="L57" s="247" t="n"/>
      <c r="M57" s="247" t="n"/>
      <c r="N57" s="247" t="n"/>
      <c r="O57" s="147">
        <f>IFERROR(AVERAGE(Admin_North[[#This Row],[Jan]:[Dec]]),"")</f>
        <v/>
      </c>
      <c r="P57" s="220" t="n"/>
      <c r="Q57" s="220" t="n"/>
      <c r="R57" s="220" t="n"/>
      <c r="S57" s="220" t="n"/>
      <c r="T57" s="220" t="n"/>
      <c r="U57" s="220" t="n"/>
      <c r="V57" s="220" t="n"/>
      <c r="W57" s="220" t="n"/>
      <c r="X57" s="220" t="n"/>
      <c r="Y57" s="91" t="n"/>
      <c r="Z57" s="91" t="n"/>
      <c r="AA57" s="91" t="n"/>
      <c r="AB57" s="220" t="n"/>
      <c r="AC57" s="220" t="n"/>
      <c r="AD57" s="220" t="n"/>
      <c r="AE57" s="220" t="n"/>
      <c r="AF57" s="220" t="n"/>
      <c r="AG57" s="220" t="n"/>
      <c r="AH57" s="220" t="n"/>
      <c r="AI57" s="220" t="n"/>
      <c r="AJ57" s="220" t="n"/>
      <c r="AK57" s="220" t="n"/>
      <c r="AL57" s="220" t="n"/>
      <c r="AM57" s="220" t="n"/>
      <c r="AN57" s="220" t="n"/>
      <c r="AO57" s="220" t="n"/>
      <c r="AP57" s="220" t="n"/>
      <c r="AQ57" s="220" t="n"/>
      <c r="AR57" s="220" t="n"/>
      <c r="AS57" s="220" t="n"/>
      <c r="AT57" s="220" t="n"/>
      <c r="AU57" s="220" t="n"/>
      <c r="AV57" s="220" t="n"/>
      <c r="AW57" s="220" t="n"/>
      <c r="AX57" s="220" t="n"/>
      <c r="AY57" s="220" t="n"/>
      <c r="AZ57" s="220" t="n"/>
      <c r="BA57" s="220" t="n"/>
      <c r="BB57" s="220" t="n"/>
      <c r="BC57" s="220" t="n"/>
      <c r="BD57" s="220" t="n"/>
      <c r="BE57" s="220" t="n"/>
      <c r="BF57" s="220" t="n"/>
      <c r="BG57" s="220" t="n"/>
      <c r="BH57" s="220" t="n"/>
      <c r="BI57" s="220" t="n"/>
      <c r="BJ57" s="220" t="n"/>
      <c r="BK57" s="220" t="n"/>
      <c r="BL57" s="220" t="n"/>
      <c r="BM57" s="220" t="n"/>
      <c r="BN57" s="220" t="n"/>
      <c r="BO57" s="220" t="n"/>
      <c r="BP57" s="220" t="n"/>
    </row>
    <row r="58" ht="15" customHeight="1">
      <c r="A58" s="220" t="n"/>
      <c r="B58" s="250" t="inlineStr">
        <is>
          <t>Jay</t>
        </is>
      </c>
      <c r="C58" s="247" t="n"/>
      <c r="D58" s="247" t="n"/>
      <c r="E58" s="247" t="n"/>
      <c r="F58" s="247" t="n"/>
      <c r="G58" s="247" t="n"/>
      <c r="H58" s="247" t="n"/>
      <c r="I58" s="247" t="n"/>
      <c r="J58" s="247" t="n"/>
      <c r="K58" s="247" t="n"/>
      <c r="L58" s="247" t="n"/>
      <c r="M58" s="247" t="n"/>
      <c r="N58" s="247" t="n"/>
      <c r="O58" s="147">
        <f>IFERROR(AVERAGE(Admin_North[[#This Row],[Jan]:[Dec]]),"")</f>
        <v/>
      </c>
      <c r="P58" s="220" t="n"/>
      <c r="Q58" s="220" t="n"/>
      <c r="R58" s="220" t="n"/>
      <c r="S58" s="220" t="n"/>
      <c r="T58" s="220" t="n"/>
      <c r="U58" s="220" t="n"/>
      <c r="V58" s="220" t="n"/>
      <c r="W58" s="220" t="n"/>
      <c r="X58" s="220" t="n"/>
      <c r="Y58" s="220" t="n"/>
      <c r="Z58" s="220" t="n"/>
      <c r="AA58" s="220" t="n"/>
      <c r="AB58" s="220" t="n"/>
      <c r="AC58" s="220" t="n"/>
      <c r="AD58" s="220" t="n"/>
      <c r="AE58" s="220" t="n"/>
      <c r="AF58" s="220" t="n"/>
      <c r="AG58" s="220" t="n"/>
      <c r="AH58" s="220" t="n"/>
      <c r="AI58" s="220" t="n"/>
      <c r="AJ58" s="220" t="n"/>
      <c r="AK58" s="220" t="n"/>
      <c r="AL58" s="220" t="n"/>
      <c r="AM58" s="220" t="n"/>
      <c r="AN58" s="220" t="n"/>
      <c r="AO58" s="220" t="n"/>
      <c r="AP58" s="220" t="n"/>
      <c r="AQ58" s="220" t="n"/>
      <c r="AR58" s="220" t="n"/>
      <c r="AS58" s="220" t="n"/>
      <c r="AT58" s="220" t="n"/>
      <c r="AU58" s="220" t="n"/>
      <c r="AV58" s="220" t="n"/>
      <c r="AW58" s="220" t="n"/>
      <c r="AX58" s="220" t="n"/>
      <c r="AY58" s="220" t="n"/>
      <c r="AZ58" s="220" t="n"/>
      <c r="BA58" s="220" t="n"/>
      <c r="BB58" s="220" t="n"/>
      <c r="BC58" s="220" t="n"/>
      <c r="BD58" s="220" t="n"/>
      <c r="BE58" s="220" t="n"/>
      <c r="BF58" s="220" t="n"/>
      <c r="BG58" s="220" t="n"/>
      <c r="BH58" s="220" t="n"/>
      <c r="BI58" s="220" t="n"/>
      <c r="BJ58" s="220" t="n"/>
      <c r="BK58" s="220" t="n"/>
      <c r="BL58" s="220" t="n"/>
      <c r="BM58" s="220" t="n"/>
      <c r="BN58" s="220" t="n"/>
      <c r="BO58" s="220" t="n"/>
      <c r="BP58" s="220" t="n"/>
    </row>
    <row r="59" ht="15" customHeight="1">
      <c r="A59" s="220" t="n"/>
      <c r="B59" s="250" t="inlineStr">
        <is>
          <t>Jaymee</t>
        </is>
      </c>
      <c r="C59" s="247" t="n"/>
      <c r="D59" s="247" t="n"/>
      <c r="E59" s="247" t="n"/>
      <c r="F59" s="247" t="n"/>
      <c r="G59" s="247" t="n"/>
      <c r="H59" s="247" t="n"/>
      <c r="I59" s="247" t="n"/>
      <c r="J59" s="247" t="n"/>
      <c r="K59" s="247" t="n"/>
      <c r="L59" s="247" t="n"/>
      <c r="M59" s="247" t="n"/>
      <c r="N59" s="247" t="n"/>
      <c r="O59" s="147">
        <f>IFERROR(AVERAGE(Admin_North[[#This Row],[Jan]:[Dec]]),"")</f>
        <v/>
      </c>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0" t="n"/>
      <c r="AJ59" s="220" t="n"/>
      <c r="AK59" s="220" t="n"/>
      <c r="AL59" s="220" t="n"/>
      <c r="AM59" s="220" t="n"/>
      <c r="AN59" s="220" t="n"/>
      <c r="AO59" s="220" t="n"/>
      <c r="AP59" s="220" t="n"/>
      <c r="AQ59" s="220" t="n"/>
      <c r="AR59" s="220" t="n"/>
      <c r="AS59" s="220" t="n"/>
      <c r="AT59" s="220" t="n"/>
      <c r="AU59" s="220" t="n"/>
      <c r="AV59" s="220" t="n"/>
      <c r="AW59" s="220" t="n"/>
      <c r="AX59" s="220" t="n"/>
      <c r="AY59" s="220" t="n"/>
      <c r="AZ59" s="220" t="n"/>
      <c r="BA59" s="220" t="n"/>
      <c r="BB59" s="220" t="n"/>
      <c r="BC59" s="220" t="n"/>
      <c r="BD59" s="220" t="n"/>
      <c r="BE59" s="220" t="n"/>
      <c r="BF59" s="220" t="n"/>
      <c r="BG59" s="220" t="n"/>
      <c r="BH59" s="220" t="n"/>
      <c r="BI59" s="220" t="n"/>
      <c r="BJ59" s="220" t="n"/>
      <c r="BK59" s="220" t="n"/>
      <c r="BL59" s="220" t="n"/>
      <c r="BM59" s="220" t="n"/>
      <c r="BN59" s="220" t="n"/>
      <c r="BO59" s="220" t="n"/>
      <c r="BP59" s="220" t="n"/>
    </row>
    <row r="60" ht="15" customHeight="1">
      <c r="A60" s="220" t="n"/>
      <c r="B60" s="220" t="n"/>
      <c r="C60" s="94" t="n"/>
      <c r="D60" s="94" t="n"/>
      <c r="E60" s="94" t="n"/>
      <c r="F60" s="94" t="n"/>
      <c r="G60" s="94" t="n"/>
      <c r="H60" s="94" t="n"/>
      <c r="I60" s="94" t="n"/>
      <c r="J60" s="94" t="n"/>
      <c r="K60" s="94" t="n"/>
      <c r="L60" s="94" t="n"/>
      <c r="M60" s="94" t="n"/>
      <c r="N60" s="94" t="n"/>
      <c r="O60" s="94" t="n"/>
      <c r="P60" s="220" t="n"/>
      <c r="Q60" s="220" t="n"/>
      <c r="R60" s="220" t="n"/>
      <c r="S60" s="220" t="n"/>
      <c r="T60" s="220" t="n"/>
      <c r="U60" s="220" t="n"/>
      <c r="V60" s="220" t="n"/>
      <c r="W60" s="220" t="n"/>
      <c r="X60" s="220" t="n"/>
      <c r="Y60" s="220" t="n"/>
      <c r="Z60" s="220" t="n"/>
      <c r="AA60" s="220" t="n"/>
      <c r="AB60" s="220" t="n"/>
      <c r="AC60" s="220" t="n"/>
      <c r="AD60" s="220" t="n"/>
      <c r="AE60" s="220" t="n"/>
      <c r="AF60" s="220" t="n"/>
      <c r="AG60" s="220" t="n"/>
      <c r="AH60" s="220" t="n"/>
      <c r="AI60" s="220" t="n"/>
      <c r="AJ60" s="220" t="n"/>
      <c r="AK60" s="220" t="n"/>
      <c r="AL60" s="220" t="n"/>
      <c r="AM60" s="220" t="n"/>
      <c r="AN60" s="220" t="n"/>
      <c r="AO60" s="220" t="n"/>
      <c r="AP60" s="220" t="n"/>
      <c r="AQ60" s="220" t="n"/>
      <c r="AR60" s="220" t="n"/>
      <c r="AS60" s="220" t="n"/>
      <c r="AT60" s="220" t="n"/>
      <c r="AU60" s="220" t="n"/>
      <c r="AV60" s="220" t="n"/>
      <c r="AW60" s="220" t="n"/>
      <c r="AX60" s="220" t="n"/>
      <c r="AY60" s="220" t="n"/>
      <c r="AZ60" s="220" t="n"/>
      <c r="BA60" s="220" t="n"/>
      <c r="BB60" s="220" t="n"/>
      <c r="BC60" s="220" t="n"/>
      <c r="BD60" s="220" t="n"/>
      <c r="BE60" s="220" t="n"/>
      <c r="BF60" s="220" t="n"/>
      <c r="BG60" s="220" t="n"/>
      <c r="BH60" s="220" t="n"/>
      <c r="BI60" s="220" t="n"/>
      <c r="BJ60" s="220" t="n"/>
      <c r="BK60" s="220" t="n"/>
      <c r="BL60" s="220" t="n"/>
      <c r="BM60" s="220" t="n"/>
      <c r="BN60" s="220" t="n"/>
      <c r="BO60" s="220" t="n"/>
      <c r="BP60" s="220" t="n"/>
    </row>
    <row r="61" ht="15" customHeight="1">
      <c r="A61" s="220" t="n"/>
      <c r="B61" s="88" t="inlineStr">
        <is>
          <t>Attitude, Learning, Collaboration &amp; Client Impact</t>
        </is>
      </c>
      <c r="C61" s="133" t="inlineStr">
        <is>
          <t>Jan</t>
        </is>
      </c>
      <c r="D61" s="133" t="inlineStr">
        <is>
          <t>Feb</t>
        </is>
      </c>
      <c r="E61" s="133" t="inlineStr">
        <is>
          <t>Mar</t>
        </is>
      </c>
      <c r="F61" s="133" t="inlineStr">
        <is>
          <t>Apr</t>
        </is>
      </c>
      <c r="G61" s="133" t="inlineStr">
        <is>
          <t>May</t>
        </is>
      </c>
      <c r="H61" s="133" t="inlineStr">
        <is>
          <t>June</t>
        </is>
      </c>
      <c r="I61" s="133" t="inlineStr">
        <is>
          <t>July</t>
        </is>
      </c>
      <c r="J61" s="133" t="inlineStr">
        <is>
          <t>Aug</t>
        </is>
      </c>
      <c r="K61" s="133" t="inlineStr">
        <is>
          <t>Sept</t>
        </is>
      </c>
      <c r="L61" s="133" t="inlineStr">
        <is>
          <t>Oct</t>
        </is>
      </c>
      <c r="M61" s="133" t="inlineStr">
        <is>
          <t>Nov</t>
        </is>
      </c>
      <c r="N61" s="133" t="inlineStr">
        <is>
          <t>Dec</t>
        </is>
      </c>
      <c r="O61" s="133" t="inlineStr">
        <is>
          <t>Average</t>
        </is>
      </c>
      <c r="P61" s="220" t="n"/>
      <c r="Q61" s="220" t="n"/>
      <c r="R61" s="220" t="n"/>
      <c r="S61" s="220" t="n"/>
      <c r="T61" s="220" t="n"/>
      <c r="U61" s="220" t="n"/>
      <c r="V61" s="220" t="n"/>
      <c r="W61" s="220" t="n"/>
      <c r="X61" s="220" t="n"/>
      <c r="Y61" s="220" t="n"/>
      <c r="Z61" s="220" t="n"/>
      <c r="AA61" s="220" t="n"/>
      <c r="AB61" s="220" t="n"/>
      <c r="AC61" s="220" t="n"/>
      <c r="AD61" s="220" t="n"/>
      <c r="AE61" s="220" t="n"/>
      <c r="AF61" s="220" t="n"/>
      <c r="AG61" s="220" t="n"/>
      <c r="AH61" s="220" t="n"/>
      <c r="AI61" s="220" t="n"/>
      <c r="AJ61" s="220" t="n"/>
      <c r="AK61" s="220" t="n"/>
      <c r="AL61" s="220" t="n"/>
      <c r="AM61" s="220" t="n"/>
      <c r="AN61" s="220" t="n"/>
      <c r="AO61" s="220" t="n"/>
      <c r="AP61" s="220" t="n"/>
      <c r="AQ61" s="220" t="n"/>
      <c r="AR61" s="220" t="n"/>
      <c r="AS61" s="220" t="n"/>
      <c r="AT61" s="220" t="n"/>
      <c r="AU61" s="220" t="n"/>
      <c r="AV61" s="220" t="n"/>
      <c r="AW61" s="220" t="n"/>
      <c r="AX61" s="220" t="n"/>
      <c r="AY61" s="220" t="n"/>
      <c r="AZ61" s="220" t="n"/>
      <c r="BA61" s="220" t="n"/>
      <c r="BB61" s="220" t="n"/>
      <c r="BC61" s="220" t="n"/>
      <c r="BD61" s="220" t="n"/>
      <c r="BE61" s="220" t="n"/>
      <c r="BF61" s="220" t="n"/>
      <c r="BG61" s="220" t="n"/>
      <c r="BH61" s="220" t="n"/>
      <c r="BI61" s="220" t="n"/>
      <c r="BJ61" s="220" t="n"/>
      <c r="BK61" s="220" t="n"/>
      <c r="BL61" s="220" t="n"/>
      <c r="BM61" s="220" t="n"/>
      <c r="BN61" s="220" t="n"/>
      <c r="BO61" s="220" t="n"/>
      <c r="BP61" s="220" t="n"/>
    </row>
    <row r="62" ht="15" customHeight="1">
      <c r="A62" s="220" t="n"/>
      <c r="B62" s="250" t="inlineStr">
        <is>
          <t>Marco</t>
        </is>
      </c>
      <c r="C62" s="247" t="n"/>
      <c r="D62" s="247" t="n"/>
      <c r="E62" s="247" t="n"/>
      <c r="F62" s="247" t="n"/>
      <c r="G62" s="247" t="n"/>
      <c r="H62" s="247" t="n"/>
      <c r="I62" s="247" t="n"/>
      <c r="J62" s="247" t="n"/>
      <c r="K62" s="247" t="n"/>
      <c r="L62" s="247" t="n"/>
      <c r="M62" s="247" t="n"/>
      <c r="N62" s="247" t="n"/>
      <c r="O62" s="147">
        <f>IFERROR(AVERAGE(Attitude_North[[#This Row],[Jan]:[Dec]]),"")</f>
        <v/>
      </c>
      <c r="P62" s="220" t="n"/>
      <c r="Q62" s="220" t="n"/>
      <c r="R62" s="220" t="n"/>
      <c r="S62" s="220" t="n"/>
      <c r="T62" s="220" t="n"/>
      <c r="U62" s="220" t="n"/>
      <c r="V62" s="220" t="n"/>
      <c r="W62" s="220" t="n"/>
      <c r="X62" s="220" t="n"/>
      <c r="Y62" s="220" t="n"/>
      <c r="Z62" s="220" t="n"/>
      <c r="AA62" s="220" t="n"/>
      <c r="AB62" s="220" t="n"/>
      <c r="AC62" s="220" t="n"/>
      <c r="AD62" s="220" t="n"/>
      <c r="AE62" s="220" t="n"/>
      <c r="AF62" s="220" t="n"/>
      <c r="AG62" s="220" t="n"/>
      <c r="AH62" s="220" t="n"/>
      <c r="AI62" s="220" t="n"/>
      <c r="AJ62" s="220" t="n"/>
      <c r="AK62" s="220" t="n"/>
      <c r="AL62" s="220" t="n"/>
      <c r="AM62" s="220" t="n"/>
      <c r="AN62" s="220" t="n"/>
      <c r="AO62" s="220" t="n"/>
      <c r="AP62" s="220" t="n"/>
      <c r="AQ62" s="220" t="n"/>
      <c r="AR62" s="220" t="n"/>
      <c r="AS62" s="220" t="n"/>
      <c r="AT62" s="220" t="n"/>
      <c r="AU62" s="220" t="n"/>
      <c r="AV62" s="220" t="n"/>
      <c r="AW62" s="220" t="n"/>
      <c r="AX62" s="220" t="n"/>
      <c r="AY62" s="220" t="n"/>
      <c r="AZ62" s="220" t="n"/>
      <c r="BA62" s="220" t="n"/>
      <c r="BB62" s="220" t="n"/>
      <c r="BC62" s="220" t="n"/>
      <c r="BD62" s="220" t="n"/>
      <c r="BE62" s="220" t="n"/>
      <c r="BF62" s="220" t="n"/>
      <c r="BG62" s="220" t="n"/>
      <c r="BH62" s="220" t="n"/>
      <c r="BI62" s="220" t="n"/>
      <c r="BJ62" s="220" t="n"/>
      <c r="BK62" s="220" t="n"/>
      <c r="BL62" s="220" t="n"/>
      <c r="BM62" s="220" t="n"/>
      <c r="BN62" s="220" t="n"/>
      <c r="BO62" s="220" t="n"/>
      <c r="BP62" s="220" t="n"/>
    </row>
    <row r="63" ht="15" customHeight="1">
      <c r="A63" s="220" t="n"/>
      <c r="B63" s="250" t="inlineStr">
        <is>
          <t>Danny</t>
        </is>
      </c>
      <c r="C63" s="247" t="n"/>
      <c r="D63" s="247" t="n"/>
      <c r="E63" s="247" t="n"/>
      <c r="F63" s="247" t="n"/>
      <c r="G63" s="247" t="n"/>
      <c r="H63" s="247" t="n"/>
      <c r="I63" s="247" t="n"/>
      <c r="J63" s="247" t="n"/>
      <c r="K63" s="247" t="n"/>
      <c r="L63" s="247" t="n"/>
      <c r="M63" s="247" t="n"/>
      <c r="N63" s="247" t="n"/>
      <c r="O63" s="147">
        <f>IFERROR(AVERAGE(Attitude_North[[#This Row],[Jan]:[Dec]]),"")</f>
        <v/>
      </c>
      <c r="P63" s="220" t="n"/>
      <c r="Q63" s="220" t="n"/>
      <c r="R63" s="220" t="n"/>
      <c r="S63" s="220" t="n"/>
      <c r="T63" s="220" t="n"/>
      <c r="U63" s="220" t="n"/>
      <c r="V63" s="220" t="n"/>
      <c r="W63" s="220" t="n"/>
      <c r="X63" s="220" t="n"/>
      <c r="Y63" s="220" t="n"/>
      <c r="Z63" s="220" t="n"/>
      <c r="AA63" s="220" t="n"/>
      <c r="AB63" s="220" t="n"/>
      <c r="AC63" s="220" t="n"/>
      <c r="AD63" s="220" t="n"/>
      <c r="AE63" s="220" t="n"/>
      <c r="AF63" s="220" t="n"/>
      <c r="AG63" s="220" t="n"/>
      <c r="AH63" s="220" t="n"/>
      <c r="AI63" s="220" t="n"/>
      <c r="AJ63" s="220" t="n"/>
      <c r="AK63" s="220" t="n"/>
      <c r="AL63" s="220" t="n"/>
      <c r="AM63" s="220" t="n"/>
      <c r="AN63" s="220" t="n"/>
      <c r="AO63" s="220" t="n"/>
      <c r="AP63" s="220" t="n"/>
      <c r="AQ63" s="220" t="n"/>
      <c r="AR63" s="220" t="n"/>
      <c r="AS63" s="220" t="n"/>
      <c r="AT63" s="220" t="n"/>
      <c r="AU63" s="220" t="n"/>
      <c r="AV63" s="220" t="n"/>
      <c r="AW63" s="220" t="n"/>
      <c r="AX63" s="220" t="n"/>
      <c r="AY63" s="220" t="n"/>
      <c r="AZ63" s="220" t="n"/>
      <c r="BA63" s="220" t="n"/>
      <c r="BB63" s="220" t="n"/>
      <c r="BC63" s="220" t="n"/>
      <c r="BD63" s="220" t="n"/>
      <c r="BE63" s="220" t="n"/>
      <c r="BF63" s="220" t="n"/>
      <c r="BG63" s="220" t="n"/>
      <c r="BH63" s="220" t="n"/>
      <c r="BI63" s="220" t="n"/>
      <c r="BJ63" s="220" t="n"/>
      <c r="BK63" s="220" t="n"/>
      <c r="BL63" s="220" t="n"/>
      <c r="BM63" s="220" t="n"/>
      <c r="BN63" s="220" t="n"/>
      <c r="BO63" s="220" t="n"/>
      <c r="BP63" s="220" t="n"/>
    </row>
    <row r="64" ht="15" customHeight="1">
      <c r="A64" s="220" t="n"/>
      <c r="B64" s="250" t="inlineStr">
        <is>
          <t>Alice</t>
        </is>
      </c>
      <c r="C64" s="247" t="n"/>
      <c r="D64" s="247" t="n"/>
      <c r="E64" s="247" t="n"/>
      <c r="F64" s="247" t="n"/>
      <c r="G64" s="247" t="n"/>
      <c r="H64" s="247" t="n"/>
      <c r="I64" s="247" t="n"/>
      <c r="J64" s="247" t="n"/>
      <c r="K64" s="247" t="n"/>
      <c r="L64" s="247" t="n"/>
      <c r="M64" s="247" t="n"/>
      <c r="N64" s="247" t="n"/>
      <c r="O64" s="147">
        <f>IFERROR(AVERAGE(Attitude_North[[#This Row],[Jan]:[Dec]]),"")</f>
        <v/>
      </c>
      <c r="P64" s="220" t="n"/>
      <c r="Q64" s="220" t="n"/>
      <c r="R64" s="220" t="n"/>
      <c r="S64" s="220" t="n"/>
      <c r="T64" s="220" t="n"/>
      <c r="U64" s="220" t="n"/>
      <c r="V64" s="220" t="n"/>
      <c r="W64" s="220" t="n"/>
      <c r="X64" s="220" t="n"/>
      <c r="Y64" s="220" t="n"/>
      <c r="Z64" s="220" t="n"/>
      <c r="AA64" s="220" t="n"/>
      <c r="AB64" s="220" t="n"/>
      <c r="AC64" s="220" t="n"/>
      <c r="AD64" s="220" t="n"/>
      <c r="AE64" s="220" t="n"/>
      <c r="AF64" s="220" t="n"/>
      <c r="AG64" s="220" t="n"/>
      <c r="AH64" s="220" t="n"/>
      <c r="AI64" s="220" t="n"/>
      <c r="AJ64" s="220" t="n"/>
      <c r="AK64" s="220" t="n"/>
      <c r="AL64" s="220" t="n"/>
      <c r="AM64" s="220" t="n"/>
      <c r="AN64" s="220" t="n"/>
      <c r="AO64" s="220" t="n"/>
      <c r="AP64" s="220" t="n"/>
      <c r="AQ64" s="220" t="n"/>
      <c r="AR64" s="220" t="n"/>
      <c r="AS64" s="220" t="n"/>
      <c r="AT64" s="220" t="n"/>
      <c r="AU64" s="220" t="n"/>
      <c r="AV64" s="220" t="n"/>
      <c r="AW64" s="220" t="n"/>
      <c r="AX64" s="220" t="n"/>
      <c r="AY64" s="220" t="n"/>
      <c r="AZ64" s="220" t="n"/>
      <c r="BA64" s="220" t="n"/>
      <c r="BB64" s="220" t="n"/>
      <c r="BC64" s="220" t="n"/>
      <c r="BD64" s="220" t="n"/>
      <c r="BE64" s="220" t="n"/>
      <c r="BF64" s="220" t="n"/>
      <c r="BG64" s="220" t="n"/>
      <c r="BH64" s="220" t="n"/>
      <c r="BI64" s="220" t="n"/>
      <c r="BJ64" s="220" t="n"/>
      <c r="BK64" s="220" t="n"/>
      <c r="BL64" s="220" t="n"/>
      <c r="BM64" s="220" t="n"/>
      <c r="BN64" s="220" t="n"/>
      <c r="BO64" s="220" t="n"/>
      <c r="BP64" s="220" t="n"/>
    </row>
    <row r="65" ht="15" customHeight="1">
      <c r="A65" s="220" t="n"/>
      <c r="B65" s="250" t="inlineStr">
        <is>
          <t>April</t>
        </is>
      </c>
      <c r="C65" s="247" t="n"/>
      <c r="D65" s="247" t="n"/>
      <c r="E65" s="247" t="n"/>
      <c r="F65" s="247" t="n"/>
      <c r="G65" s="247" t="n"/>
      <c r="H65" s="247" t="n"/>
      <c r="I65" s="247" t="n"/>
      <c r="J65" s="247" t="n"/>
      <c r="K65" s="247" t="n"/>
      <c r="L65" s="247" t="n"/>
      <c r="M65" s="247" t="n"/>
      <c r="N65" s="247" t="n"/>
      <c r="O65" s="147">
        <f>IFERROR(AVERAGE(Attitude_North[[#This Row],[Jan]:[Dec]]),"")</f>
        <v/>
      </c>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0" t="n"/>
      <c r="AJ65" s="220" t="n"/>
      <c r="AK65" s="220" t="n"/>
      <c r="AL65" s="220" t="n"/>
      <c r="AM65" s="220" t="n"/>
      <c r="AN65" s="220" t="n"/>
      <c r="AO65" s="220" t="n"/>
      <c r="AP65" s="220" t="n"/>
      <c r="AQ65" s="220" t="n"/>
      <c r="AR65" s="220" t="n"/>
      <c r="AS65" s="220" t="n"/>
      <c r="AT65" s="220" t="n"/>
      <c r="AU65" s="220" t="n"/>
      <c r="AV65" s="220" t="n"/>
      <c r="AW65" s="220" t="n"/>
      <c r="AX65" s="220" t="n"/>
      <c r="AY65" s="220" t="n"/>
      <c r="AZ65" s="220" t="n"/>
      <c r="BA65" s="220" t="n"/>
      <c r="BB65" s="220" t="n"/>
      <c r="BC65" s="220" t="n"/>
      <c r="BD65" s="220" t="n"/>
      <c r="BE65" s="220" t="n"/>
      <c r="BF65" s="220" t="n"/>
      <c r="BG65" s="220" t="n"/>
      <c r="BH65" s="220" t="n"/>
      <c r="BI65" s="220" t="n"/>
      <c r="BJ65" s="220" t="n"/>
      <c r="BK65" s="220" t="n"/>
      <c r="BL65" s="220" t="n"/>
      <c r="BM65" s="220" t="n"/>
      <c r="BN65" s="220" t="n"/>
      <c r="BO65" s="220" t="n"/>
      <c r="BP65" s="220" t="n"/>
    </row>
    <row r="66">
      <c r="A66" s="220" t="n"/>
      <c r="B66" s="250" t="inlineStr">
        <is>
          <t>Chris</t>
        </is>
      </c>
      <c r="C66" s="247" t="n"/>
      <c r="D66" s="247" t="n"/>
      <c r="E66" s="247" t="n"/>
      <c r="F66" s="247" t="n"/>
      <c r="G66" s="247" t="n"/>
      <c r="H66" s="247" t="n"/>
      <c r="I66" s="247" t="n"/>
      <c r="J66" s="247" t="n"/>
      <c r="K66" s="247" t="n"/>
      <c r="L66" s="247" t="n"/>
      <c r="M66" s="247" t="n"/>
      <c r="N66" s="247" t="n"/>
      <c r="O66" s="149">
        <f>IFERROR(AVERAGE(Attitude_North[[#This Row],[Jan]:[Dec]]),"")</f>
        <v/>
      </c>
      <c r="P66" s="220" t="n"/>
      <c r="Q66" s="220" t="n"/>
      <c r="R66" s="220" t="n"/>
      <c r="S66" s="220" t="n"/>
      <c r="T66" s="220" t="n"/>
      <c r="U66" s="220" t="n"/>
      <c r="V66" s="220" t="n"/>
      <c r="W66" s="220" t="n"/>
      <c r="X66" s="220" t="n"/>
      <c r="Y66" s="220" t="n"/>
      <c r="Z66" s="220" t="n"/>
      <c r="AA66" s="220" t="n"/>
      <c r="AB66" s="220" t="n"/>
      <c r="AC66" s="220" t="n"/>
      <c r="AD66" s="220" t="n"/>
      <c r="AE66" s="220" t="n"/>
      <c r="AF66" s="220" t="n"/>
      <c r="AG66" s="220" t="n"/>
      <c r="AH66" s="220" t="n"/>
      <c r="AI66" s="220" t="n"/>
      <c r="AJ66" s="220" t="n"/>
      <c r="AK66" s="220" t="n"/>
      <c r="AL66" s="220" t="n"/>
      <c r="AM66" s="220" t="n"/>
      <c r="AN66" s="220" t="n"/>
      <c r="AO66" s="220" t="n"/>
      <c r="AP66" s="220" t="n"/>
      <c r="AQ66" s="220" t="n"/>
      <c r="AR66" s="220" t="n"/>
      <c r="AS66" s="220" t="n"/>
      <c r="AT66" s="220" t="n"/>
      <c r="AU66" s="220" t="n"/>
      <c r="AV66" s="220" t="n"/>
      <c r="AW66" s="220" t="n"/>
      <c r="AX66" s="220" t="n"/>
      <c r="AY66" s="220" t="n"/>
      <c r="AZ66" s="220" t="n"/>
      <c r="BA66" s="220" t="n"/>
      <c r="BB66" s="220" t="n"/>
      <c r="BC66" s="220" t="n"/>
      <c r="BD66" s="220" t="n"/>
      <c r="BE66" s="220" t="n"/>
      <c r="BF66" s="220" t="n"/>
      <c r="BG66" s="220" t="n"/>
      <c r="BH66" s="220" t="n"/>
      <c r="BI66" s="220" t="n"/>
      <c r="BJ66" s="220" t="n"/>
      <c r="BK66" s="220" t="n"/>
      <c r="BL66" s="220" t="n"/>
      <c r="BM66" s="220" t="n"/>
      <c r="BN66" s="220" t="n"/>
      <c r="BO66" s="220" t="n"/>
      <c r="BP66" s="220" t="n"/>
    </row>
    <row r="67" ht="15" customHeight="1">
      <c r="A67" s="220" t="n"/>
      <c r="B67" s="250" t="inlineStr">
        <is>
          <t>Emilie</t>
        </is>
      </c>
      <c r="C67" s="247" t="n"/>
      <c r="D67" s="247" t="n"/>
      <c r="E67" s="247" t="n"/>
      <c r="F67" s="247" t="n"/>
      <c r="G67" s="247" t="n"/>
      <c r="H67" s="247" t="n"/>
      <c r="I67" s="247" t="n"/>
      <c r="J67" s="247" t="n"/>
      <c r="K67" s="247" t="n"/>
      <c r="L67" s="247" t="n"/>
      <c r="M67" s="247" t="n"/>
      <c r="N67" s="247" t="n"/>
      <c r="O67" s="149">
        <f>IFERROR(AVERAGE(Attitude_North[[#This Row],[Jan]:[Dec]]),"")</f>
        <v/>
      </c>
      <c r="P67" s="220" t="n"/>
      <c r="Q67" s="220" t="n"/>
      <c r="R67" s="220" t="n"/>
      <c r="S67" s="220" t="n"/>
      <c r="T67" s="220" t="n"/>
      <c r="U67" s="220" t="n"/>
      <c r="V67" s="220" t="n"/>
      <c r="W67" s="220" t="n"/>
      <c r="X67" s="220" t="n"/>
      <c r="Y67" s="220" t="n"/>
      <c r="Z67" s="220" t="n"/>
      <c r="AA67" s="220" t="n"/>
      <c r="AB67" s="220" t="n"/>
      <c r="AC67" s="220" t="n"/>
      <c r="AD67" s="220" t="n"/>
      <c r="AE67" s="220" t="n"/>
      <c r="AF67" s="220" t="n"/>
      <c r="AG67" s="220" t="n"/>
      <c r="AH67" s="220" t="n"/>
      <c r="AI67" s="220" t="n"/>
      <c r="AJ67" s="220" t="n"/>
      <c r="AK67" s="220" t="n"/>
      <c r="AL67" s="220" t="n"/>
      <c r="AM67" s="220" t="n"/>
      <c r="AN67" s="220" t="n"/>
      <c r="AO67" s="220" t="n"/>
      <c r="AP67" s="220" t="n"/>
      <c r="AQ67" s="220" t="n"/>
      <c r="AR67" s="220" t="n"/>
      <c r="AS67" s="220" t="n"/>
      <c r="AT67" s="220" t="n"/>
      <c r="AU67" s="220" t="n"/>
      <c r="AV67" s="220" t="n"/>
      <c r="AW67" s="220" t="n"/>
      <c r="AX67" s="220" t="n"/>
      <c r="AY67" s="220" t="n"/>
      <c r="AZ67" s="220" t="n"/>
      <c r="BA67" s="220" t="n"/>
      <c r="BB67" s="220" t="n"/>
      <c r="BC67" s="220" t="n"/>
      <c r="BD67" s="220" t="n"/>
      <c r="BE67" s="220" t="n"/>
      <c r="BF67" s="220" t="n"/>
      <c r="BG67" s="220" t="n"/>
      <c r="BH67" s="220" t="n"/>
      <c r="BI67" s="220" t="n"/>
      <c r="BJ67" s="220" t="n"/>
      <c r="BK67" s="220" t="n"/>
      <c r="BL67" s="220" t="n"/>
      <c r="BM67" s="220" t="n"/>
      <c r="BN67" s="220" t="n"/>
      <c r="BO67" s="220" t="n"/>
      <c r="BP67" s="220" t="n"/>
    </row>
    <row r="68" ht="15" customHeight="1">
      <c r="A68" s="220" t="n"/>
      <c r="B68" s="250" t="inlineStr">
        <is>
          <t>Eva</t>
        </is>
      </c>
      <c r="C68" s="247" t="n"/>
      <c r="D68" s="247" t="n"/>
      <c r="E68" s="247" t="n"/>
      <c r="F68" s="247" t="n"/>
      <c r="G68" s="247" t="n"/>
      <c r="H68" s="247" t="n"/>
      <c r="I68" s="247" t="n"/>
      <c r="J68" s="247" t="n"/>
      <c r="K68" s="247" t="n"/>
      <c r="L68" s="247" t="n"/>
      <c r="M68" s="247" t="n"/>
      <c r="N68" s="247" t="n"/>
      <c r="O68" s="147">
        <f>IFERROR(AVERAGE(Attitude_North[[#This Row],[Jan]:[Dec]]),"")</f>
        <v/>
      </c>
      <c r="P68" s="220" t="n"/>
      <c r="Q68" s="220" t="n"/>
      <c r="R68" s="220" t="n"/>
      <c r="S68" s="220" t="n"/>
      <c r="T68" s="220" t="n"/>
      <c r="U68" s="220" t="n"/>
      <c r="V68" s="220" t="n"/>
      <c r="W68" s="220" t="n"/>
      <c r="X68" s="220" t="n"/>
      <c r="Y68" s="220" t="n"/>
      <c r="Z68" s="220" t="n"/>
      <c r="AA68" s="220" t="n"/>
      <c r="AB68" s="220" t="n"/>
      <c r="AC68" s="220" t="n"/>
      <c r="AD68" s="220" t="n"/>
      <c r="AE68" s="220" t="n"/>
      <c r="AF68" s="220" t="n"/>
      <c r="AG68" s="220" t="n"/>
      <c r="AH68" s="220" t="n"/>
      <c r="AI68" s="220" t="n"/>
      <c r="AJ68" s="220" t="n"/>
      <c r="AK68" s="220" t="n"/>
      <c r="AL68" s="220" t="n"/>
      <c r="AM68" s="220" t="n"/>
      <c r="AN68" s="220" t="n"/>
      <c r="AO68" s="220" t="n"/>
      <c r="AP68" s="220" t="n"/>
      <c r="AQ68" s="220" t="n"/>
      <c r="AR68" s="220" t="n"/>
      <c r="AS68" s="220" t="n"/>
      <c r="AT68" s="220" t="n"/>
      <c r="AU68" s="220" t="n"/>
      <c r="AV68" s="220" t="n"/>
      <c r="AW68" s="220" t="n"/>
      <c r="AX68" s="220" t="n"/>
      <c r="AY68" s="220" t="n"/>
      <c r="AZ68" s="220" t="n"/>
      <c r="BA68" s="220" t="n"/>
      <c r="BB68" s="220" t="n"/>
      <c r="BC68" s="220" t="n"/>
      <c r="BD68" s="220" t="n"/>
      <c r="BE68" s="220" t="n"/>
      <c r="BF68" s="220" t="n"/>
      <c r="BG68" s="220" t="n"/>
      <c r="BH68" s="220" t="n"/>
      <c r="BI68" s="220" t="n"/>
      <c r="BJ68" s="220" t="n"/>
      <c r="BK68" s="220" t="n"/>
      <c r="BL68" s="220" t="n"/>
      <c r="BM68" s="220" t="n"/>
      <c r="BN68" s="220" t="n"/>
      <c r="BO68" s="220" t="n"/>
      <c r="BP68" s="220" t="n"/>
    </row>
    <row r="69" ht="15" customHeight="1">
      <c r="A69" s="220" t="n"/>
      <c r="B69" s="258" t="inlineStr">
        <is>
          <t>Jackson</t>
        </is>
      </c>
      <c r="C69" s="249" t="n"/>
      <c r="D69" s="249" t="n"/>
      <c r="E69" s="249" t="n"/>
      <c r="F69" s="249" t="n"/>
      <c r="G69" s="247" t="n"/>
      <c r="H69" s="247" t="n"/>
      <c r="I69" s="247" t="n"/>
      <c r="J69" s="247" t="n"/>
      <c r="K69" s="247" t="n"/>
      <c r="L69" s="247" t="n"/>
      <c r="M69" s="247" t="n"/>
      <c r="N69" s="247" t="n"/>
      <c r="O69" s="147">
        <f>IFERROR(AVERAGE(Attitude_North[[#This Row],[Jan]:[Dec]]),"")</f>
        <v/>
      </c>
      <c r="P69" s="220" t="n"/>
      <c r="Q69" s="220" t="n"/>
      <c r="R69" s="220" t="n"/>
      <c r="S69" s="220" t="n"/>
      <c r="T69" s="220" t="n"/>
      <c r="U69" s="220" t="n"/>
      <c r="V69" s="220" t="n"/>
      <c r="W69" s="220" t="n"/>
      <c r="X69" s="220" t="n"/>
      <c r="Y69" s="220" t="n"/>
      <c r="Z69" s="220" t="n"/>
      <c r="AA69" s="220" t="n"/>
      <c r="AB69" s="220" t="n"/>
      <c r="AC69" s="220" t="n"/>
      <c r="AD69" s="220" t="n"/>
      <c r="AE69" s="220" t="n"/>
      <c r="AF69" s="220" t="n"/>
      <c r="AG69" s="220" t="n"/>
      <c r="AH69" s="220" t="n"/>
      <c r="AI69" s="220" t="n"/>
      <c r="AJ69" s="220" t="n"/>
      <c r="AK69" s="220" t="n"/>
      <c r="AL69" s="220" t="n"/>
      <c r="AM69" s="220" t="n"/>
      <c r="AN69" s="220" t="n"/>
      <c r="AO69" s="220" t="n"/>
      <c r="AP69" s="220" t="n"/>
      <c r="AQ69" s="220" t="n"/>
      <c r="AR69" s="220" t="n"/>
      <c r="AS69" s="220" t="n"/>
      <c r="AT69" s="220" t="n"/>
      <c r="AU69" s="220" t="n"/>
      <c r="AV69" s="220" t="n"/>
      <c r="AW69" s="220" t="n"/>
      <c r="AX69" s="220" t="n"/>
      <c r="AY69" s="220" t="n"/>
      <c r="AZ69" s="220" t="n"/>
      <c r="BA69" s="220" t="n"/>
      <c r="BB69" s="220" t="n"/>
      <c r="BC69" s="220" t="n"/>
      <c r="BD69" s="220" t="n"/>
      <c r="BE69" s="220" t="n"/>
      <c r="BF69" s="220" t="n"/>
      <c r="BG69" s="220" t="n"/>
      <c r="BH69" s="220" t="n"/>
      <c r="BI69" s="220" t="n"/>
      <c r="BJ69" s="220" t="n"/>
      <c r="BK69" s="220" t="n"/>
      <c r="BL69" s="220" t="n"/>
      <c r="BM69" s="220" t="n"/>
      <c r="BN69" s="220" t="n"/>
      <c r="BO69" s="220" t="n"/>
      <c r="BP69" s="220" t="n"/>
    </row>
    <row r="70" ht="15" customHeight="1">
      <c r="A70" s="220" t="n"/>
      <c r="B70" s="250" t="inlineStr">
        <is>
          <t>Jay</t>
        </is>
      </c>
      <c r="C70" s="247" t="n"/>
      <c r="D70" s="247" t="n"/>
      <c r="E70" s="247" t="n"/>
      <c r="F70" s="247" t="n"/>
      <c r="G70" s="247" t="n"/>
      <c r="H70" s="247" t="n"/>
      <c r="I70" s="247" t="n"/>
      <c r="J70" s="247" t="n"/>
      <c r="K70" s="247" t="n"/>
      <c r="L70" s="247" t="n"/>
      <c r="M70" s="247" t="n"/>
      <c r="N70" s="247" t="n"/>
      <c r="O70" s="147">
        <f>IFERROR(AVERAGE(Attitude_North[[#This Row],[Jan]:[Dec]]),"")</f>
        <v/>
      </c>
      <c r="P70" s="220" t="n"/>
      <c r="Q70" s="220" t="n"/>
      <c r="R70" s="220" t="n"/>
      <c r="S70" s="220" t="n"/>
      <c r="T70" s="220" t="n"/>
      <c r="U70" s="220" t="n"/>
      <c r="V70" s="220" t="n"/>
      <c r="W70" s="220" t="n"/>
      <c r="X70" s="220" t="n"/>
      <c r="Y70" s="220" t="n"/>
      <c r="Z70" s="220" t="n"/>
      <c r="AA70" s="220" t="n"/>
      <c r="AB70" s="220" t="n"/>
      <c r="AC70" s="220" t="n"/>
      <c r="AD70" s="220" t="n"/>
      <c r="AE70" s="220" t="n"/>
      <c r="AF70" s="220" t="n"/>
      <c r="AG70" s="220" t="n"/>
      <c r="AH70" s="220" t="n"/>
      <c r="AI70" s="220" t="n"/>
      <c r="AJ70" s="220" t="n"/>
      <c r="AK70" s="220" t="n"/>
      <c r="AL70" s="220" t="n"/>
      <c r="AM70" s="220" t="n"/>
      <c r="AN70" s="220" t="n"/>
      <c r="AO70" s="220" t="n"/>
      <c r="AP70" s="220" t="n"/>
      <c r="AQ70" s="220" t="n"/>
      <c r="AR70" s="220" t="n"/>
      <c r="AS70" s="220" t="n"/>
      <c r="AT70" s="220" t="n"/>
      <c r="AU70" s="220" t="n"/>
      <c r="AV70" s="220" t="n"/>
      <c r="AW70" s="220" t="n"/>
      <c r="AX70" s="220" t="n"/>
      <c r="AY70" s="220" t="n"/>
      <c r="AZ70" s="220" t="n"/>
      <c r="BA70" s="220" t="n"/>
      <c r="BB70" s="220" t="n"/>
      <c r="BC70" s="220" t="n"/>
      <c r="BD70" s="220" t="n"/>
      <c r="BE70" s="220" t="n"/>
      <c r="BF70" s="220" t="n"/>
      <c r="BG70" s="220" t="n"/>
      <c r="BH70" s="220" t="n"/>
      <c r="BI70" s="220" t="n"/>
      <c r="BJ70" s="220" t="n"/>
      <c r="BK70" s="220" t="n"/>
      <c r="BL70" s="220" t="n"/>
      <c r="BM70" s="220" t="n"/>
      <c r="BN70" s="220" t="n"/>
      <c r="BO70" s="220" t="n"/>
      <c r="BP70" s="220" t="n"/>
    </row>
    <row r="71" ht="15" customHeight="1">
      <c r="A71" s="220" t="n"/>
      <c r="B71" s="250" t="inlineStr">
        <is>
          <t>Jaymee</t>
        </is>
      </c>
      <c r="C71" s="247" t="n"/>
      <c r="D71" s="247" t="n"/>
      <c r="E71" s="247" t="n"/>
      <c r="F71" s="247" t="n"/>
      <c r="G71" s="247" t="n"/>
      <c r="H71" s="247" t="n"/>
      <c r="I71" s="247" t="n"/>
      <c r="J71" s="247" t="n"/>
      <c r="K71" s="247" t="n"/>
      <c r="L71" s="247" t="n"/>
      <c r="M71" s="247" t="n"/>
      <c r="N71" s="247" t="n"/>
      <c r="O71" s="147">
        <f>IFERROR(AVERAGE(Attitude_North[[#This Row],[Jan]:[Dec]]),"")</f>
        <v/>
      </c>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0" t="n"/>
      <c r="AJ71" s="220" t="n"/>
      <c r="AK71" s="220" t="n"/>
      <c r="AL71" s="220" t="n"/>
      <c r="AM71" s="220" t="n"/>
      <c r="AN71" s="220" t="n"/>
      <c r="AO71" s="220" t="n"/>
      <c r="AP71" s="220" t="n"/>
      <c r="AQ71" s="220" t="n"/>
      <c r="AR71" s="220" t="n"/>
      <c r="AS71" s="220" t="n"/>
      <c r="AT71" s="220" t="n"/>
      <c r="AU71" s="220" t="n"/>
      <c r="AV71" s="220" t="n"/>
      <c r="AW71" s="220" t="n"/>
      <c r="AX71" s="220" t="n"/>
      <c r="AY71" s="220" t="n"/>
      <c r="AZ71" s="220" t="n"/>
      <c r="BA71" s="220" t="n"/>
      <c r="BB71" s="220" t="n"/>
      <c r="BC71" s="220" t="n"/>
      <c r="BD71" s="220" t="n"/>
      <c r="BE71" s="220" t="n"/>
      <c r="BF71" s="220" t="n"/>
      <c r="BG71" s="220" t="n"/>
      <c r="BH71" s="220" t="n"/>
      <c r="BI71" s="220" t="n"/>
      <c r="BJ71" s="220" t="n"/>
      <c r="BK71" s="220" t="n"/>
      <c r="BL71" s="220" t="n"/>
      <c r="BM71" s="220" t="n"/>
      <c r="BN71" s="220" t="n"/>
      <c r="BO71" s="220" t="n"/>
      <c r="BP71" s="220" t="n"/>
    </row>
    <row r="72" ht="15" customHeight="1">
      <c r="A72" s="220" t="n"/>
      <c r="B72" s="220" t="n"/>
      <c r="C72" s="220" t="n"/>
      <c r="D72" s="220" t="n"/>
      <c r="E72" s="220" t="n"/>
      <c r="F72" s="220" t="n"/>
      <c r="G72" s="220" t="n"/>
      <c r="H72" s="220" t="n"/>
      <c r="I72" s="220" t="n"/>
      <c r="J72" s="220" t="n"/>
      <c r="K72" s="220" t="n"/>
      <c r="L72" s="220" t="n"/>
      <c r="M72" s="220" t="n"/>
      <c r="N72" s="220" t="n"/>
      <c r="O72" s="220" t="n"/>
      <c r="P72" s="220" t="n"/>
      <c r="Q72" s="220" t="n"/>
      <c r="R72" s="220" t="n"/>
      <c r="S72" s="220" t="n"/>
      <c r="T72" s="220" t="n"/>
      <c r="U72" s="220" t="n"/>
      <c r="V72" s="220" t="n"/>
      <c r="W72" s="220" t="n"/>
      <c r="X72" s="220" t="n"/>
      <c r="Y72" s="220" t="n"/>
      <c r="Z72" s="220" t="n"/>
      <c r="AA72" s="220" t="n"/>
      <c r="AB72" s="220" t="n"/>
      <c r="AC72" s="220" t="n"/>
      <c r="AD72" s="220" t="n"/>
      <c r="AE72" s="220" t="n"/>
      <c r="AF72" s="220" t="n"/>
      <c r="AG72" s="220" t="n"/>
      <c r="AH72" s="220" t="n"/>
      <c r="AI72" s="220" t="n"/>
      <c r="AJ72" s="220" t="n"/>
      <c r="AK72" s="220" t="n"/>
      <c r="AL72" s="220" t="n"/>
      <c r="AM72" s="220" t="n"/>
      <c r="AN72" s="220" t="n"/>
      <c r="AO72" s="220" t="n"/>
      <c r="AP72" s="220" t="n"/>
      <c r="AQ72" s="220" t="n"/>
      <c r="AR72" s="220" t="n"/>
      <c r="AS72" s="220" t="n"/>
      <c r="AT72" s="220" t="n"/>
      <c r="AU72" s="220" t="n"/>
      <c r="AV72" s="220" t="n"/>
      <c r="AW72" s="220" t="n"/>
      <c r="AX72" s="220" t="n"/>
      <c r="AY72" s="220" t="n"/>
      <c r="AZ72" s="220" t="n"/>
      <c r="BA72" s="220" t="n"/>
      <c r="BB72" s="220" t="n"/>
      <c r="BC72" s="220" t="n"/>
      <c r="BD72" s="220" t="n"/>
      <c r="BE72" s="220" t="n"/>
      <c r="BF72" s="220" t="n"/>
      <c r="BG72" s="220" t="n"/>
      <c r="BH72" s="220" t="n"/>
      <c r="BI72" s="220" t="n"/>
      <c r="BJ72" s="220" t="n"/>
      <c r="BK72" s="220" t="n"/>
      <c r="BL72" s="220" t="n"/>
      <c r="BM72" s="220" t="n"/>
      <c r="BN72" s="220" t="n"/>
      <c r="BO72" s="220" t="n"/>
      <c r="BP72" s="220" t="n"/>
    </row>
    <row r="73" ht="15" customHeight="1">
      <c r="A73" s="220" t="n"/>
      <c r="B73" s="220" t="n"/>
      <c r="C73" s="220" t="n"/>
      <c r="D73" s="220" t="n"/>
      <c r="E73" s="220" t="n"/>
      <c r="F73" s="220" t="n"/>
      <c r="G73" s="220" t="n"/>
      <c r="H73" s="220" t="n"/>
      <c r="I73" s="220" t="n"/>
      <c r="J73" s="220" t="n"/>
      <c r="K73" s="220" t="n"/>
      <c r="L73" s="220" t="n"/>
      <c r="M73" s="220" t="n"/>
      <c r="N73" s="220" t="n"/>
      <c r="O73" s="220" t="n"/>
      <c r="P73" s="220" t="n"/>
      <c r="Q73" s="220" t="n"/>
      <c r="R73" s="220" t="n"/>
      <c r="S73" s="220" t="n"/>
      <c r="T73" s="220" t="n"/>
      <c r="U73" s="220" t="n"/>
      <c r="V73" s="220" t="n"/>
      <c r="W73" s="220" t="n"/>
      <c r="X73" s="220" t="n"/>
      <c r="Y73" s="220" t="n"/>
      <c r="Z73" s="220" t="n"/>
      <c r="AA73" s="220" t="n"/>
      <c r="AB73" s="220" t="n"/>
      <c r="AC73" s="220" t="n"/>
      <c r="AD73" s="220" t="n"/>
      <c r="AE73" s="220" t="n"/>
      <c r="AF73" s="220" t="n"/>
      <c r="AG73" s="220" t="n"/>
      <c r="AH73" s="220" t="n"/>
      <c r="AI73" s="220" t="n"/>
      <c r="AJ73" s="220" t="n"/>
      <c r="AK73" s="220" t="n"/>
      <c r="AL73" s="220" t="n"/>
      <c r="AM73" s="220" t="n"/>
      <c r="AN73" s="220" t="n"/>
      <c r="AO73" s="220" t="n"/>
      <c r="AP73" s="220" t="n"/>
      <c r="AQ73" s="220" t="n"/>
      <c r="AR73" s="220" t="n"/>
      <c r="AS73" s="220" t="n"/>
      <c r="AT73" s="220" t="n"/>
      <c r="AU73" s="220" t="n"/>
      <c r="AV73" s="220" t="n"/>
      <c r="AW73" s="220" t="n"/>
      <c r="AX73" s="220" t="n"/>
      <c r="AY73" s="220" t="n"/>
      <c r="AZ73" s="220" t="n"/>
      <c r="BA73" s="220" t="n"/>
      <c r="BB73" s="220" t="n"/>
      <c r="BC73" s="220" t="n"/>
      <c r="BD73" s="220" t="n"/>
      <c r="BE73" s="220" t="n"/>
      <c r="BF73" s="220" t="n"/>
      <c r="BG73" s="220" t="n"/>
      <c r="BH73" s="220" t="n"/>
      <c r="BI73" s="220" t="n"/>
      <c r="BJ73" s="220" t="n"/>
      <c r="BK73" s="220" t="n"/>
      <c r="BL73" s="220" t="n"/>
      <c r="BM73" s="220" t="n"/>
      <c r="BN73" s="220" t="n"/>
      <c r="BO73" s="220" t="n"/>
      <c r="BP73" s="220" t="n"/>
    </row>
    <row r="74" ht="15" customHeight="1">
      <c r="A74" s="220" t="n"/>
      <c r="B74" s="220" t="n"/>
      <c r="C74" s="220" t="n"/>
      <c r="D74" s="220" t="n"/>
      <c r="E74" s="98" t="n"/>
      <c r="F74" s="220" t="n"/>
      <c r="G74" s="220" t="n"/>
      <c r="H74" s="220" t="n"/>
      <c r="I74" s="220" t="n"/>
      <c r="J74" s="220" t="n"/>
      <c r="K74" s="220" t="n"/>
      <c r="L74" s="220" t="n"/>
      <c r="M74" s="220" t="n"/>
      <c r="N74" s="220" t="n"/>
      <c r="O74" s="220" t="n"/>
      <c r="P74" s="220" t="n"/>
      <c r="Q74" s="220" t="n"/>
      <c r="R74" s="220" t="n"/>
      <c r="S74" s="220" t="n"/>
      <c r="T74" s="220" t="n"/>
      <c r="U74" s="220" t="n"/>
      <c r="V74" s="220" t="n"/>
      <c r="W74" s="220" t="n"/>
      <c r="X74" s="220" t="n"/>
      <c r="Y74" s="220" t="n"/>
      <c r="Z74" s="220" t="n"/>
      <c r="AA74" s="220" t="n"/>
      <c r="AB74" s="220" t="n"/>
      <c r="AC74" s="220" t="n"/>
      <c r="AD74" s="220" t="n"/>
      <c r="AE74" s="220" t="n"/>
      <c r="AF74" s="220" t="n"/>
      <c r="AG74" s="220" t="n"/>
      <c r="AH74" s="220" t="n"/>
      <c r="AI74" s="220" t="n"/>
      <c r="AJ74" s="220" t="n"/>
      <c r="AK74" s="220" t="n"/>
      <c r="AL74" s="220" t="n"/>
      <c r="AM74" s="220" t="n"/>
      <c r="AN74" s="220" t="n"/>
      <c r="AO74" s="220" t="n"/>
      <c r="AP74" s="220" t="n"/>
      <c r="AQ74" s="220" t="n"/>
      <c r="AR74" s="220" t="n"/>
      <c r="AS74" s="220" t="n"/>
      <c r="AT74" s="220" t="n"/>
      <c r="AU74" s="220" t="n"/>
      <c r="AV74" s="220" t="n"/>
      <c r="AW74" s="220" t="n"/>
      <c r="AX74" s="220" t="n"/>
      <c r="AY74" s="220" t="n"/>
      <c r="AZ74" s="220" t="n"/>
      <c r="BA74" s="220" t="n"/>
      <c r="BB74" s="220" t="n"/>
      <c r="BC74" s="220" t="n"/>
      <c r="BD74" s="220" t="n"/>
      <c r="BE74" s="220" t="n"/>
      <c r="BF74" s="220" t="n"/>
      <c r="BG74" s="220" t="n"/>
      <c r="BH74" s="220" t="n"/>
      <c r="BI74" s="220" t="n"/>
      <c r="BJ74" s="220" t="n"/>
      <c r="BK74" s="220" t="n"/>
      <c r="BL74" s="220" t="n"/>
      <c r="BM74" s="220" t="n"/>
      <c r="BN74" s="220" t="n"/>
      <c r="BO74" s="220" t="n"/>
      <c r="BP74" s="220" t="n"/>
    </row>
    <row r="75" ht="15" customHeight="1">
      <c r="A75" s="220" t="n"/>
      <c r="B75" s="220" t="n"/>
      <c r="C75" s="220" t="n"/>
      <c r="D75" s="220" t="n"/>
      <c r="E75" s="220" t="n"/>
      <c r="F75" s="220" t="n"/>
      <c r="G75" s="220" t="n"/>
      <c r="H75" s="220" t="n"/>
      <c r="I75" s="220" t="n"/>
      <c r="J75" s="220" t="n"/>
      <c r="K75" s="220" t="n"/>
      <c r="L75" s="220" t="n"/>
      <c r="M75" s="220" t="n"/>
      <c r="N75" s="220" t="n"/>
      <c r="O75" s="220" t="n"/>
      <c r="P75" s="220" t="n"/>
      <c r="Q75" s="220" t="n"/>
      <c r="R75" s="220" t="n"/>
      <c r="S75" s="220" t="n"/>
      <c r="T75" s="220" t="n"/>
      <c r="U75" s="220" t="n"/>
      <c r="V75" s="220" t="n"/>
      <c r="W75" s="220" t="n"/>
      <c r="X75" s="220" t="n"/>
      <c r="Y75" s="220" t="n"/>
      <c r="Z75" s="220" t="n"/>
      <c r="AA75" s="220" t="n"/>
      <c r="AB75" s="220" t="n"/>
      <c r="AC75" s="220" t="n"/>
      <c r="AD75" s="220" t="n"/>
      <c r="AE75" s="220" t="n"/>
      <c r="AF75" s="220" t="n"/>
      <c r="AG75" s="220" t="n"/>
      <c r="AH75" s="220" t="n"/>
      <c r="AI75" s="220" t="n"/>
      <c r="AJ75" s="220" t="n"/>
      <c r="AK75" s="220" t="n"/>
      <c r="AL75" s="220" t="n"/>
      <c r="AM75" s="220" t="n"/>
      <c r="AN75" s="220" t="n"/>
      <c r="AO75" s="220" t="n"/>
      <c r="AP75" s="220" t="n"/>
      <c r="AQ75" s="220" t="n"/>
      <c r="AR75" s="220" t="n"/>
      <c r="AS75" s="220" t="n"/>
      <c r="AT75" s="220" t="n"/>
      <c r="AU75" s="220" t="n"/>
      <c r="AV75" s="220" t="n"/>
      <c r="AW75" s="220" t="n"/>
      <c r="AX75" s="220" t="n"/>
      <c r="AY75" s="220" t="n"/>
      <c r="AZ75" s="220" t="n"/>
      <c r="BA75" s="220" t="n"/>
      <c r="BB75" s="220" t="n"/>
      <c r="BC75" s="220" t="n"/>
      <c r="BD75" s="220" t="n"/>
      <c r="BE75" s="220" t="n"/>
      <c r="BF75" s="220" t="n"/>
      <c r="BG75" s="220" t="n"/>
      <c r="BH75" s="220" t="n"/>
      <c r="BI75" s="220" t="n"/>
      <c r="BJ75" s="220" t="n"/>
      <c r="BK75" s="220" t="n"/>
      <c r="BL75" s="220" t="n"/>
      <c r="BM75" s="220" t="n"/>
      <c r="BN75" s="220" t="n"/>
      <c r="BO75" s="220" t="n"/>
      <c r="BP75" s="220" t="n"/>
    </row>
    <row r="76" ht="15" customHeight="1">
      <c r="A76" s="220" t="n"/>
      <c r="B76" s="220" t="n"/>
      <c r="C76" s="220" t="n"/>
      <c r="D76" s="220" t="n"/>
      <c r="E76" s="220" t="n"/>
      <c r="F76" s="220" t="n"/>
      <c r="G76" s="220" t="n"/>
      <c r="H76" s="220" t="n"/>
      <c r="I76" s="220" t="n"/>
      <c r="J76" s="220" t="n"/>
      <c r="K76" s="220" t="n"/>
      <c r="L76" s="220" t="n"/>
      <c r="M76" s="220" t="n"/>
      <c r="N76" s="220" t="n"/>
      <c r="O76" s="220" t="n"/>
      <c r="P76" s="220" t="n"/>
      <c r="Q76" s="220" t="n"/>
      <c r="R76" s="220" t="n"/>
      <c r="S76" s="220" t="n"/>
      <c r="T76" s="220" t="n"/>
      <c r="U76" s="220" t="n"/>
      <c r="V76" s="220" t="n"/>
      <c r="W76" s="220" t="n"/>
      <c r="X76" s="220" t="n"/>
      <c r="Y76" s="220" t="n"/>
      <c r="Z76" s="220" t="n"/>
      <c r="AA76" s="220" t="n"/>
      <c r="AB76" s="220" t="n"/>
      <c r="AC76" s="220" t="n"/>
      <c r="AD76" s="220" t="n"/>
      <c r="AE76" s="220" t="n"/>
      <c r="AF76" s="220" t="n"/>
      <c r="AG76" s="220" t="n"/>
      <c r="AH76" s="220" t="n"/>
      <c r="AI76" s="220" t="n"/>
      <c r="AJ76" s="220" t="n"/>
      <c r="AK76" s="220" t="n"/>
      <c r="AL76" s="220" t="n"/>
      <c r="AM76" s="220" t="n"/>
      <c r="AN76" s="220" t="n"/>
      <c r="AO76" s="220" t="n"/>
      <c r="AP76" s="220" t="n"/>
      <c r="AQ76" s="220" t="n"/>
      <c r="AR76" s="220" t="n"/>
      <c r="AS76" s="220" t="n"/>
      <c r="AT76" s="220" t="n"/>
      <c r="AU76" s="220" t="n"/>
      <c r="AV76" s="220" t="n"/>
      <c r="AW76" s="220" t="n"/>
      <c r="AX76" s="220" t="n"/>
      <c r="AY76" s="220" t="n"/>
      <c r="AZ76" s="220" t="n"/>
      <c r="BA76" s="220" t="n"/>
      <c r="BB76" s="220" t="n"/>
      <c r="BC76" s="220" t="n"/>
      <c r="BD76" s="220" t="n"/>
      <c r="BE76" s="220" t="n"/>
      <c r="BF76" s="220" t="n"/>
      <c r="BG76" s="220" t="n"/>
      <c r="BH76" s="220" t="n"/>
      <c r="BI76" s="220" t="n"/>
      <c r="BJ76" s="220" t="n"/>
      <c r="BK76" s="220" t="n"/>
      <c r="BL76" s="220" t="n"/>
      <c r="BM76" s="220" t="n"/>
      <c r="BN76" s="220" t="n"/>
      <c r="BO76" s="220" t="n"/>
      <c r="BP76" s="220" t="n"/>
    </row>
    <row r="77" ht="15" customHeight="1">
      <c r="A77" s="220" t="n"/>
      <c r="B77" s="220" t="n"/>
      <c r="C77" s="220" t="n"/>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0" t="n"/>
      <c r="AJ77" s="220" t="n"/>
      <c r="AK77" s="220" t="n"/>
      <c r="AL77" s="220" t="n"/>
      <c r="AM77" s="220" t="n"/>
      <c r="AN77" s="220" t="n"/>
      <c r="AO77" s="220" t="n"/>
      <c r="AP77" s="220" t="n"/>
      <c r="AQ77" s="220" t="n"/>
      <c r="AR77" s="220" t="n"/>
      <c r="AS77" s="220" t="n"/>
      <c r="AT77" s="220" t="n"/>
      <c r="AU77" s="220" t="n"/>
      <c r="AV77" s="220" t="n"/>
      <c r="AW77" s="220" t="n"/>
      <c r="AX77" s="220" t="n"/>
      <c r="AY77" s="220" t="n"/>
      <c r="AZ77" s="220" t="n"/>
      <c r="BA77" s="220" t="n"/>
      <c r="BB77" s="220" t="n"/>
      <c r="BC77" s="220" t="n"/>
      <c r="BD77" s="220" t="n"/>
      <c r="BE77" s="220" t="n"/>
      <c r="BF77" s="220" t="n"/>
      <c r="BG77" s="220" t="n"/>
      <c r="BH77" s="220" t="n"/>
      <c r="BI77" s="220" t="n"/>
      <c r="BJ77" s="220" t="n"/>
      <c r="BK77" s="220" t="n"/>
      <c r="BL77" s="220" t="n"/>
      <c r="BM77" s="220" t="n"/>
      <c r="BN77" s="220" t="n"/>
      <c r="BO77" s="220" t="n"/>
      <c r="BP77" s="220" t="n"/>
    </row>
    <row r="78" ht="15" customHeight="1">
      <c r="A78" s="220" t="n"/>
      <c r="B78" s="220" t="n"/>
      <c r="C78" s="220" t="n"/>
      <c r="D78" s="220" t="n"/>
      <c r="E78" s="220" t="n"/>
      <c r="F78" s="220" t="n"/>
      <c r="G78" s="220" t="n"/>
      <c r="H78" s="220" t="n"/>
      <c r="I78" s="220" t="n"/>
      <c r="J78" s="220" t="n"/>
      <c r="K78" s="220" t="n"/>
      <c r="L78" s="220" t="n"/>
      <c r="M78" s="220" t="n"/>
      <c r="N78" s="220" t="n"/>
      <c r="O78" s="220" t="n"/>
      <c r="P78" s="220" t="n"/>
      <c r="Q78" s="220" t="n"/>
      <c r="R78" s="220" t="n"/>
      <c r="S78" s="220" t="n"/>
      <c r="T78" s="220" t="n"/>
      <c r="U78" s="220" t="n"/>
      <c r="V78" s="220" t="n"/>
      <c r="W78" s="220" t="n"/>
      <c r="X78" s="220" t="n"/>
      <c r="Y78" s="220" t="n"/>
      <c r="Z78" s="220" t="n"/>
      <c r="AA78" s="220" t="n"/>
      <c r="AB78" s="220" t="n"/>
      <c r="AC78" s="220" t="n"/>
      <c r="AD78" s="220" t="n"/>
      <c r="AE78" s="220" t="n"/>
      <c r="AF78" s="220" t="n"/>
      <c r="AG78" s="220" t="n"/>
      <c r="AH78" s="220" t="n"/>
      <c r="AI78" s="220" t="n"/>
      <c r="AJ78" s="220" t="n"/>
      <c r="AK78" s="220" t="n"/>
      <c r="AL78" s="220" t="n"/>
      <c r="AM78" s="220" t="n"/>
      <c r="AN78" s="220" t="n"/>
      <c r="AO78" s="220" t="n"/>
      <c r="AP78" s="220" t="n"/>
      <c r="AQ78" s="220" t="n"/>
      <c r="AR78" s="220" t="n"/>
      <c r="AS78" s="220" t="n"/>
      <c r="AT78" s="220" t="n"/>
      <c r="AU78" s="220" t="n"/>
      <c r="AV78" s="220" t="n"/>
      <c r="AW78" s="220" t="n"/>
      <c r="AX78" s="220" t="n"/>
      <c r="AY78" s="220" t="n"/>
      <c r="AZ78" s="220" t="n"/>
      <c r="BA78" s="220" t="n"/>
      <c r="BB78" s="220" t="n"/>
      <c r="BC78" s="220" t="n"/>
      <c r="BD78" s="220" t="n"/>
      <c r="BE78" s="220" t="n"/>
      <c r="BF78" s="220" t="n"/>
      <c r="BG78" s="220" t="n"/>
      <c r="BH78" s="220" t="n"/>
      <c r="BI78" s="220" t="n"/>
      <c r="BJ78" s="220" t="n"/>
      <c r="BK78" s="220" t="n"/>
      <c r="BL78" s="220" t="n"/>
      <c r="BM78" s="220" t="n"/>
      <c r="BN78" s="220" t="n"/>
      <c r="BO78" s="220" t="n"/>
      <c r="BP78" s="220" t="n"/>
    </row>
    <row r="79" ht="15" customHeight="1">
      <c r="A79" s="220" t="n"/>
      <c r="B79" s="220" t="n"/>
      <c r="C79" s="220" t="n"/>
      <c r="D79" s="220" t="n"/>
      <c r="E79" s="220" t="n"/>
      <c r="F79" s="220" t="n"/>
      <c r="G79" s="220" t="n"/>
      <c r="H79" s="220" t="n"/>
      <c r="I79" s="220" t="n"/>
      <c r="J79" s="220" t="n"/>
      <c r="K79" s="220" t="n"/>
      <c r="L79" s="220" t="n"/>
      <c r="M79" s="220" t="n"/>
      <c r="N79" s="220" t="n"/>
      <c r="O79" s="220" t="n"/>
      <c r="P79" s="220" t="n"/>
      <c r="Q79" s="220" t="n"/>
      <c r="R79" s="220" t="n"/>
      <c r="S79" s="220" t="n"/>
      <c r="T79" s="220" t="n"/>
      <c r="U79" s="220" t="n"/>
      <c r="V79" s="220" t="n"/>
      <c r="W79" s="220" t="n"/>
      <c r="X79" s="220" t="n"/>
      <c r="Y79" s="220" t="n"/>
      <c r="Z79" s="220" t="n"/>
      <c r="AA79" s="220" t="n"/>
      <c r="AB79" s="220" t="n"/>
      <c r="AC79" s="220" t="n"/>
      <c r="AD79" s="220" t="n"/>
      <c r="AE79" s="220" t="n"/>
      <c r="AF79" s="220" t="n"/>
      <c r="AG79" s="220" t="n"/>
      <c r="AH79" s="220" t="n"/>
      <c r="AI79" s="220" t="n"/>
      <c r="AJ79" s="220" t="n"/>
      <c r="AK79" s="220" t="n"/>
      <c r="AL79" s="220" t="n"/>
      <c r="AM79" s="220" t="n"/>
      <c r="AN79" s="220" t="n"/>
      <c r="AO79" s="220" t="n"/>
      <c r="AP79" s="220" t="n"/>
      <c r="AQ79" s="220" t="n"/>
      <c r="AR79" s="220" t="n"/>
      <c r="AS79" s="220" t="n"/>
      <c r="AT79" s="220" t="n"/>
      <c r="AU79" s="220" t="n"/>
      <c r="AV79" s="220" t="n"/>
      <c r="AW79" s="220" t="n"/>
      <c r="AX79" s="220" t="n"/>
      <c r="AY79" s="220" t="n"/>
      <c r="AZ79" s="220" t="n"/>
      <c r="BA79" s="220" t="n"/>
      <c r="BB79" s="220" t="n"/>
      <c r="BC79" s="220" t="n"/>
      <c r="BD79" s="220" t="n"/>
      <c r="BE79" s="220" t="n"/>
      <c r="BF79" s="220" t="n"/>
      <c r="BG79" s="220" t="n"/>
      <c r="BH79" s="220" t="n"/>
      <c r="BI79" s="220" t="n"/>
      <c r="BJ79" s="220" t="n"/>
      <c r="BK79" s="220" t="n"/>
      <c r="BL79" s="220" t="n"/>
      <c r="BM79" s="220" t="n"/>
      <c r="BN79" s="220" t="n"/>
      <c r="BO79" s="220" t="n"/>
      <c r="BP79" s="220" t="n"/>
    </row>
    <row r="80" ht="15" customHeight="1">
      <c r="A80" s="220" t="n"/>
      <c r="B80" s="220" t="n"/>
      <c r="C80" s="220" t="n"/>
      <c r="D80" s="220" t="n"/>
      <c r="E80" s="220" t="n"/>
      <c r="F80" s="220" t="n"/>
      <c r="G80" s="220" t="n"/>
      <c r="H80" s="220" t="n"/>
      <c r="I80" s="220" t="n"/>
      <c r="J80" s="220" t="n"/>
      <c r="K80" s="220" t="n"/>
      <c r="L80" s="220" t="n"/>
      <c r="M80" s="220" t="n"/>
      <c r="N80" s="220" t="n"/>
      <c r="O80" s="220" t="n"/>
      <c r="P80" s="220" t="n"/>
      <c r="Q80" s="220" t="n"/>
      <c r="R80" s="220" t="n"/>
      <c r="S80" s="220" t="n"/>
      <c r="T80" s="220" t="n"/>
      <c r="U80" s="220" t="n"/>
      <c r="V80" s="220" t="n"/>
      <c r="W80" s="220" t="n"/>
      <c r="X80" s="220" t="n"/>
      <c r="Y80" s="220" t="n"/>
      <c r="Z80" s="220" t="n"/>
      <c r="AA80" s="220" t="n"/>
      <c r="AB80" s="220" t="n"/>
      <c r="AC80" s="220" t="n"/>
      <c r="AD80" s="220" t="n"/>
      <c r="AE80" s="220" t="n"/>
      <c r="AF80" s="220" t="n"/>
      <c r="AG80" s="220" t="n"/>
      <c r="AH80" s="220" t="n"/>
      <c r="AI80" s="220" t="n"/>
      <c r="AJ80" s="220" t="n"/>
      <c r="AK80" s="220" t="n"/>
      <c r="AL80" s="220" t="n"/>
      <c r="AM80" s="220" t="n"/>
      <c r="AN80" s="220" t="n"/>
      <c r="AO80" s="220" t="n"/>
      <c r="AP80" s="220" t="n"/>
      <c r="AQ80" s="220" t="n"/>
      <c r="AR80" s="220" t="n"/>
      <c r="AS80" s="220" t="n"/>
      <c r="AT80" s="220" t="n"/>
      <c r="AU80" s="220" t="n"/>
      <c r="AV80" s="220" t="n"/>
      <c r="AW80" s="220" t="n"/>
      <c r="AX80" s="220" t="n"/>
      <c r="AY80" s="220" t="n"/>
      <c r="AZ80" s="220" t="n"/>
      <c r="BA80" s="220" t="n"/>
      <c r="BB80" s="220" t="n"/>
      <c r="BC80" s="220" t="n"/>
      <c r="BD80" s="220" t="n"/>
      <c r="BE80" s="220" t="n"/>
      <c r="BF80" s="220" t="n"/>
      <c r="BG80" s="220" t="n"/>
      <c r="BH80" s="220" t="n"/>
      <c r="BI80" s="220" t="n"/>
      <c r="BJ80" s="220" t="n"/>
      <c r="BK80" s="220" t="n"/>
      <c r="BL80" s="220" t="n"/>
      <c r="BM80" s="220" t="n"/>
      <c r="BN80" s="220" t="n"/>
      <c r="BO80" s="220" t="n"/>
      <c r="BP80" s="220" t="n"/>
    </row>
    <row r="81" ht="15" customHeight="1">
      <c r="A81" s="220" t="n"/>
      <c r="B81" s="220" t="n"/>
      <c r="C81" s="220" t="n"/>
      <c r="D81" s="220" t="n"/>
      <c r="E81" s="220" t="n"/>
      <c r="F81" s="220" t="n"/>
      <c r="G81" s="220" t="n"/>
      <c r="H81" s="220" t="n"/>
      <c r="I81" s="220" t="n"/>
      <c r="J81" s="220" t="n"/>
      <c r="K81" s="220" t="n"/>
      <c r="L81" s="220" t="n"/>
      <c r="M81" s="220" t="n"/>
      <c r="N81" s="220" t="n"/>
      <c r="O81" s="220" t="n"/>
      <c r="P81" s="220" t="n"/>
      <c r="Q81" s="220" t="n"/>
      <c r="R81" s="220" t="n"/>
      <c r="S81" s="220" t="n"/>
      <c r="T81" s="220" t="n"/>
      <c r="U81" s="220" t="n"/>
      <c r="V81" s="220" t="n"/>
      <c r="W81" s="220" t="n"/>
      <c r="X81" s="220" t="n"/>
      <c r="Y81" s="220" t="n"/>
      <c r="Z81" s="220" t="n"/>
      <c r="AA81" s="220" t="n"/>
      <c r="AB81" s="220" t="n"/>
      <c r="AC81" s="220" t="n"/>
      <c r="AD81" s="220" t="n"/>
      <c r="AE81" s="220" t="n"/>
      <c r="AF81" s="220" t="n"/>
      <c r="AG81" s="220" t="n"/>
      <c r="AH81" s="220" t="n"/>
      <c r="AI81" s="220" t="n"/>
      <c r="AJ81" s="220" t="n"/>
      <c r="AK81" s="220" t="n"/>
      <c r="AL81" s="220" t="n"/>
      <c r="AM81" s="220" t="n"/>
      <c r="AN81" s="220" t="n"/>
      <c r="AO81" s="220" t="n"/>
      <c r="AP81" s="220" t="n"/>
      <c r="AQ81" s="220" t="n"/>
      <c r="AR81" s="220" t="n"/>
      <c r="AS81" s="220" t="n"/>
      <c r="AT81" s="220" t="n"/>
      <c r="AU81" s="220" t="n"/>
      <c r="AV81" s="220" t="n"/>
      <c r="AW81" s="220" t="n"/>
      <c r="AX81" s="220" t="n"/>
      <c r="AY81" s="220" t="n"/>
      <c r="AZ81" s="220" t="n"/>
      <c r="BA81" s="220" t="n"/>
      <c r="BB81" s="220" t="n"/>
      <c r="BC81" s="220" t="n"/>
      <c r="BD81" s="220" t="n"/>
      <c r="BE81" s="220" t="n"/>
      <c r="BF81" s="220" t="n"/>
      <c r="BG81" s="220" t="n"/>
      <c r="BH81" s="220" t="n"/>
      <c r="BI81" s="220" t="n"/>
      <c r="BJ81" s="220" t="n"/>
      <c r="BK81" s="220" t="n"/>
      <c r="BL81" s="220" t="n"/>
      <c r="BM81" s="220" t="n"/>
      <c r="BN81" s="220" t="n"/>
      <c r="BO81" s="220" t="n"/>
      <c r="BP81" s="220" t="n"/>
    </row>
    <row r="82" ht="15" customHeight="1">
      <c r="A82" s="220" t="n"/>
      <c r="B82" s="220" t="n"/>
      <c r="C82" s="220" t="n"/>
      <c r="D82" s="220" t="n"/>
      <c r="E82" s="220" t="n"/>
      <c r="F82" s="220" t="n"/>
      <c r="G82" s="220" t="n"/>
      <c r="H82" s="220" t="n"/>
      <c r="I82" s="220" t="n"/>
      <c r="J82" s="220" t="n"/>
      <c r="K82" s="220" t="n"/>
      <c r="L82" s="220" t="n"/>
      <c r="M82" s="220" t="n"/>
      <c r="N82" s="220" t="n"/>
      <c r="O82" s="220" t="n"/>
      <c r="P82" s="220" t="n"/>
      <c r="Q82" s="220" t="n"/>
      <c r="R82" s="220" t="n"/>
      <c r="S82" s="220" t="n"/>
      <c r="T82" s="220" t="n"/>
      <c r="U82" s="220" t="n"/>
      <c r="V82" s="220" t="n"/>
      <c r="W82" s="220" t="n"/>
      <c r="X82" s="220" t="n"/>
      <c r="Y82" s="220" t="n"/>
      <c r="Z82" s="220" t="n"/>
      <c r="AA82" s="220" t="n"/>
      <c r="AB82" s="220" t="n"/>
      <c r="AC82" s="220" t="n"/>
      <c r="AD82" s="220" t="n"/>
      <c r="AE82" s="220" t="n"/>
      <c r="AF82" s="220" t="n"/>
      <c r="AG82" s="220" t="n"/>
      <c r="AH82" s="220" t="n"/>
      <c r="AI82" s="220" t="n"/>
      <c r="AJ82" s="220" t="n"/>
      <c r="AK82" s="220" t="n"/>
      <c r="AL82" s="220" t="n"/>
      <c r="AM82" s="220" t="n"/>
      <c r="AN82" s="220" t="n"/>
      <c r="AO82" s="220" t="n"/>
      <c r="AP82" s="220" t="n"/>
      <c r="AQ82" s="220" t="n"/>
      <c r="AR82" s="220" t="n"/>
      <c r="AS82" s="220" t="n"/>
      <c r="AT82" s="220" t="n"/>
      <c r="AU82" s="220" t="n"/>
      <c r="AV82" s="220" t="n"/>
      <c r="AW82" s="220" t="n"/>
      <c r="AX82" s="220" t="n"/>
      <c r="AY82" s="220" t="n"/>
      <c r="AZ82" s="220" t="n"/>
      <c r="BA82" s="220" t="n"/>
      <c r="BB82" s="220" t="n"/>
      <c r="BC82" s="220" t="n"/>
      <c r="BD82" s="220" t="n"/>
      <c r="BE82" s="220" t="n"/>
      <c r="BF82" s="220" t="n"/>
      <c r="BG82" s="220" t="n"/>
      <c r="BH82" s="220" t="n"/>
      <c r="BI82" s="220" t="n"/>
      <c r="BJ82" s="220" t="n"/>
      <c r="BK82" s="220" t="n"/>
      <c r="BL82" s="220" t="n"/>
      <c r="BM82" s="220" t="n"/>
      <c r="BN82" s="220" t="n"/>
      <c r="BO82" s="220" t="n"/>
      <c r="BP82" s="220" t="n"/>
    </row>
    <row r="83" ht="15" customHeight="1">
      <c r="A83" s="220" t="n"/>
      <c r="B83" s="220" t="n"/>
      <c r="C83" s="220" t="n"/>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0" t="n"/>
      <c r="AJ83" s="220" t="n"/>
      <c r="AK83" s="220" t="n"/>
      <c r="AL83" s="220" t="n"/>
      <c r="AM83" s="220" t="n"/>
      <c r="AN83" s="220" t="n"/>
      <c r="AO83" s="220" t="n"/>
      <c r="AP83" s="220" t="n"/>
      <c r="AQ83" s="220" t="n"/>
      <c r="AR83" s="220" t="n"/>
      <c r="AS83" s="220" t="n"/>
      <c r="AT83" s="220" t="n"/>
      <c r="AU83" s="220" t="n"/>
      <c r="AV83" s="220" t="n"/>
      <c r="AW83" s="220" t="n"/>
      <c r="AX83" s="220" t="n"/>
      <c r="AY83" s="220" t="n"/>
      <c r="AZ83" s="220" t="n"/>
      <c r="BA83" s="220" t="n"/>
      <c r="BB83" s="220" t="n"/>
      <c r="BC83" s="220" t="n"/>
      <c r="BD83" s="220" t="n"/>
      <c r="BE83" s="220" t="n"/>
      <c r="BF83" s="220" t="n"/>
      <c r="BG83" s="220" t="n"/>
      <c r="BH83" s="220" t="n"/>
      <c r="BI83" s="220" t="n"/>
      <c r="BJ83" s="220" t="n"/>
      <c r="BK83" s="220" t="n"/>
      <c r="BL83" s="220" t="n"/>
      <c r="BM83" s="220" t="n"/>
      <c r="BN83" s="220" t="n"/>
      <c r="BO83" s="220" t="n"/>
      <c r="BP83" s="220" t="n"/>
    </row>
    <row r="84" ht="15" customHeight="1">
      <c r="A84" s="220" t="n"/>
      <c r="B84" s="220" t="n"/>
      <c r="C84" s="220" t="n"/>
      <c r="D84" s="220" t="n"/>
      <c r="E84" s="220" t="n"/>
      <c r="F84" s="220" t="n"/>
      <c r="G84" s="220" t="n"/>
      <c r="H84" s="220" t="n"/>
      <c r="I84" s="220" t="n"/>
      <c r="J84" s="220" t="n"/>
      <c r="K84" s="220" t="n"/>
      <c r="L84" s="220" t="n"/>
      <c r="M84" s="220" t="n"/>
      <c r="N84" s="220" t="n"/>
      <c r="O84" s="220" t="n"/>
      <c r="P84" s="220" t="n"/>
      <c r="Q84" s="220" t="n"/>
      <c r="R84" s="220" t="n"/>
      <c r="S84" s="220" t="n"/>
      <c r="T84" s="220" t="n"/>
      <c r="U84" s="220" t="n"/>
      <c r="V84" s="220" t="n"/>
      <c r="W84" s="220" t="n"/>
      <c r="X84" s="220" t="n"/>
      <c r="Y84" s="220" t="n"/>
      <c r="Z84" s="220" t="n"/>
      <c r="AA84" s="220" t="n"/>
      <c r="AB84" s="220" t="n"/>
      <c r="AC84" s="220" t="n"/>
      <c r="AD84" s="220" t="n"/>
      <c r="AE84" s="220" t="n"/>
      <c r="AF84" s="220" t="n"/>
      <c r="AG84" s="220" t="n"/>
      <c r="AH84" s="220" t="n"/>
      <c r="AI84" s="220" t="n"/>
      <c r="AJ84" s="220" t="n"/>
      <c r="AK84" s="220" t="n"/>
      <c r="AL84" s="220" t="n"/>
      <c r="AM84" s="220" t="n"/>
      <c r="AN84" s="220" t="n"/>
      <c r="AO84" s="220" t="n"/>
      <c r="AP84" s="220" t="n"/>
      <c r="AQ84" s="220" t="n"/>
      <c r="AR84" s="220" t="n"/>
      <c r="AS84" s="220" t="n"/>
      <c r="AT84" s="220" t="n"/>
      <c r="AU84" s="220" t="n"/>
      <c r="AV84" s="220" t="n"/>
      <c r="AW84" s="220" t="n"/>
      <c r="AX84" s="220" t="n"/>
      <c r="AY84" s="220" t="n"/>
      <c r="AZ84" s="220" t="n"/>
      <c r="BA84" s="220" t="n"/>
      <c r="BB84" s="220" t="n"/>
      <c r="BC84" s="220" t="n"/>
      <c r="BD84" s="220" t="n"/>
      <c r="BE84" s="220" t="n"/>
      <c r="BF84" s="220" t="n"/>
      <c r="BG84" s="220" t="n"/>
      <c r="BH84" s="220" t="n"/>
      <c r="BI84" s="220" t="n"/>
      <c r="BJ84" s="220" t="n"/>
      <c r="BK84" s="220" t="n"/>
      <c r="BL84" s="220" t="n"/>
      <c r="BM84" s="220" t="n"/>
      <c r="BN84" s="220" t="n"/>
      <c r="BO84" s="220" t="n"/>
      <c r="BP84" s="220" t="n"/>
    </row>
    <row r="85" ht="15" customHeight="1">
      <c r="A85" s="220" t="n"/>
      <c r="B85" s="220" t="n"/>
      <c r="C85" s="220" t="n"/>
      <c r="D85" s="220" t="n"/>
      <c r="E85" s="220" t="n"/>
      <c r="F85" s="220" t="n"/>
      <c r="G85" s="220" t="n"/>
      <c r="H85" s="220" t="n"/>
      <c r="I85" s="220" t="n"/>
      <c r="J85" s="220" t="n"/>
      <c r="K85" s="220" t="n"/>
      <c r="L85" s="220" t="n"/>
      <c r="M85" s="220" t="n"/>
      <c r="N85" s="220" t="n"/>
      <c r="O85" s="220" t="n"/>
      <c r="P85" s="220" t="n"/>
      <c r="Q85" s="220" t="n"/>
      <c r="R85" s="220" t="n"/>
      <c r="S85" s="220" t="n"/>
      <c r="T85" s="220" t="n"/>
      <c r="U85" s="220" t="n"/>
      <c r="V85" s="220" t="n"/>
      <c r="W85" s="220" t="n"/>
      <c r="X85" s="220" t="n"/>
      <c r="Y85" s="220" t="n"/>
      <c r="Z85" s="220" t="n"/>
      <c r="AA85" s="220" t="n"/>
      <c r="AB85" s="220" t="n"/>
      <c r="AC85" s="220" t="n"/>
      <c r="AD85" s="220" t="n"/>
      <c r="AE85" s="220" t="n"/>
      <c r="AF85" s="220" t="n"/>
      <c r="AG85" s="220" t="n"/>
      <c r="AH85" s="220" t="n"/>
      <c r="AI85" s="220" t="n"/>
      <c r="AJ85" s="220" t="n"/>
      <c r="AK85" s="220" t="n"/>
      <c r="AL85" s="220" t="n"/>
      <c r="AM85" s="220" t="n"/>
      <c r="AN85" s="220" t="n"/>
      <c r="AO85" s="220" t="n"/>
      <c r="AP85" s="220" t="n"/>
      <c r="AQ85" s="220" t="n"/>
      <c r="AR85" s="220" t="n"/>
      <c r="AS85" s="220" t="n"/>
      <c r="AT85" s="220" t="n"/>
      <c r="AU85" s="220" t="n"/>
      <c r="AV85" s="220" t="n"/>
      <c r="AW85" s="220" t="n"/>
      <c r="AX85" s="220" t="n"/>
      <c r="AY85" s="220" t="n"/>
      <c r="AZ85" s="220" t="n"/>
      <c r="BA85" s="220" t="n"/>
      <c r="BB85" s="220" t="n"/>
      <c r="BC85" s="220" t="n"/>
      <c r="BD85" s="220" t="n"/>
      <c r="BE85" s="220" t="n"/>
      <c r="BF85" s="220" t="n"/>
      <c r="BG85" s="220" t="n"/>
      <c r="BH85" s="220" t="n"/>
      <c r="BI85" s="220" t="n"/>
      <c r="BJ85" s="220" t="n"/>
      <c r="BK85" s="220" t="n"/>
      <c r="BL85" s="220" t="n"/>
      <c r="BM85" s="220" t="n"/>
      <c r="BN85" s="220" t="n"/>
      <c r="BO85" s="220" t="n"/>
      <c r="BP85" s="220" t="n"/>
    </row>
    <row r="86" ht="15" customHeight="1">
      <c r="A86" s="220" t="n"/>
      <c r="B86" s="220" t="n"/>
      <c r="C86" s="220" t="n"/>
      <c r="D86" s="220" t="n"/>
      <c r="E86" s="220" t="n"/>
      <c r="F86" s="220" t="n"/>
      <c r="G86" s="220" t="n"/>
      <c r="H86" s="220" t="n"/>
      <c r="I86" s="220" t="n"/>
      <c r="J86" s="220" t="n"/>
      <c r="K86" s="220" t="n"/>
      <c r="L86" s="220" t="n"/>
      <c r="M86" s="220" t="n"/>
      <c r="N86" s="220" t="n"/>
      <c r="O86" s="220" t="n"/>
      <c r="P86" s="220" t="n"/>
      <c r="Q86" s="220" t="n"/>
      <c r="R86" s="220" t="n"/>
      <c r="S86" s="220" t="n"/>
      <c r="T86" s="220" t="n"/>
      <c r="U86" s="220" t="n"/>
      <c r="V86" s="220" t="n"/>
      <c r="W86" s="220" t="n"/>
      <c r="X86" s="220" t="n"/>
      <c r="Y86" s="220" t="n"/>
      <c r="Z86" s="220" t="n"/>
      <c r="AA86" s="220" t="n"/>
      <c r="AB86" s="220" t="n"/>
      <c r="AC86" s="220" t="n"/>
      <c r="AD86" s="220" t="n"/>
      <c r="AE86" s="220" t="n"/>
      <c r="AF86" s="220" t="n"/>
      <c r="AG86" s="220" t="n"/>
      <c r="AH86" s="220" t="n"/>
      <c r="AI86" s="220" t="n"/>
      <c r="AJ86" s="220" t="n"/>
      <c r="AK86" s="220" t="n"/>
      <c r="AL86" s="220" t="n"/>
      <c r="AM86" s="220" t="n"/>
      <c r="AN86" s="220" t="n"/>
      <c r="AO86" s="220" t="n"/>
      <c r="AP86" s="220" t="n"/>
      <c r="AQ86" s="220" t="n"/>
      <c r="AR86" s="220" t="n"/>
      <c r="AS86" s="220" t="n"/>
      <c r="AT86" s="220" t="n"/>
      <c r="AU86" s="220" t="n"/>
      <c r="AV86" s="220" t="n"/>
      <c r="AW86" s="220" t="n"/>
      <c r="AX86" s="220" t="n"/>
      <c r="AY86" s="220" t="n"/>
      <c r="AZ86" s="220" t="n"/>
      <c r="BA86" s="220" t="n"/>
      <c r="BB86" s="220" t="n"/>
      <c r="BC86" s="220" t="n"/>
      <c r="BD86" s="220" t="n"/>
      <c r="BE86" s="220" t="n"/>
      <c r="BF86" s="220" t="n"/>
      <c r="BG86" s="220" t="n"/>
      <c r="BH86" s="220" t="n"/>
      <c r="BI86" s="220" t="n"/>
      <c r="BJ86" s="220" t="n"/>
      <c r="BK86" s="220" t="n"/>
      <c r="BL86" s="220" t="n"/>
      <c r="BM86" s="220" t="n"/>
      <c r="BN86" s="220" t="n"/>
      <c r="BO86" s="220" t="n"/>
      <c r="BP86" s="220" t="n"/>
    </row>
    <row r="87" ht="15" customHeight="1">
      <c r="A87" s="220" t="n"/>
      <c r="B87" s="220" t="n"/>
      <c r="C87" s="220" t="n"/>
      <c r="D87" s="220" t="n"/>
      <c r="E87" s="220" t="n"/>
      <c r="F87" s="220" t="n"/>
      <c r="G87" s="220" t="n"/>
      <c r="H87" s="220" t="n"/>
      <c r="I87" s="220" t="n"/>
      <c r="J87" s="220" t="n"/>
      <c r="K87" s="220" t="n"/>
      <c r="L87" s="220" t="n"/>
      <c r="M87" s="220" t="n"/>
      <c r="N87" s="220" t="n"/>
      <c r="O87" s="220" t="n"/>
      <c r="P87" s="220" t="n"/>
      <c r="Q87" s="220" t="n"/>
      <c r="R87" s="220" t="n"/>
      <c r="S87" s="220" t="n"/>
      <c r="T87" s="220" t="n"/>
      <c r="U87" s="220" t="n"/>
      <c r="V87" s="220" t="n"/>
      <c r="W87" s="220" t="n"/>
      <c r="X87" s="220" t="n"/>
      <c r="Y87" s="220" t="n"/>
      <c r="Z87" s="220" t="n"/>
      <c r="AA87" s="220" t="n"/>
      <c r="AB87" s="220" t="n"/>
      <c r="AC87" s="220" t="n"/>
      <c r="AD87" s="220" t="n"/>
      <c r="AE87" s="220" t="n"/>
      <c r="AF87" s="220" t="n"/>
      <c r="AG87" s="220" t="n"/>
      <c r="AH87" s="220" t="n"/>
      <c r="AI87" s="220" t="n"/>
      <c r="AJ87" s="220" t="n"/>
      <c r="AK87" s="220" t="n"/>
      <c r="AL87" s="220" t="n"/>
      <c r="AM87" s="220" t="n"/>
      <c r="AN87" s="220" t="n"/>
      <c r="AO87" s="220" t="n"/>
      <c r="AP87" s="220" t="n"/>
      <c r="AQ87" s="220" t="n"/>
      <c r="AR87" s="220" t="n"/>
      <c r="AS87" s="220" t="n"/>
      <c r="AT87" s="220" t="n"/>
      <c r="AU87" s="220" t="n"/>
      <c r="AV87" s="220" t="n"/>
      <c r="AW87" s="220" t="n"/>
      <c r="AX87" s="220" t="n"/>
      <c r="AY87" s="220" t="n"/>
      <c r="AZ87" s="220" t="n"/>
      <c r="BA87" s="220" t="n"/>
      <c r="BB87" s="220" t="n"/>
      <c r="BC87" s="220" t="n"/>
      <c r="BD87" s="220" t="n"/>
      <c r="BE87" s="220" t="n"/>
      <c r="BF87" s="220" t="n"/>
      <c r="BG87" s="220" t="n"/>
      <c r="BH87" s="220" t="n"/>
      <c r="BI87" s="220" t="n"/>
      <c r="BJ87" s="220" t="n"/>
      <c r="BK87" s="220" t="n"/>
      <c r="BL87" s="220" t="n"/>
      <c r="BM87" s="220" t="n"/>
      <c r="BN87" s="220" t="n"/>
      <c r="BO87" s="220" t="n"/>
      <c r="BP87" s="220" t="n"/>
    </row>
    <row r="88" ht="15" customHeight="1">
      <c r="A88" s="220" t="n"/>
      <c r="B88" s="220" t="n"/>
      <c r="C88" s="220" t="n"/>
      <c r="D88" s="220" t="n"/>
      <c r="E88" s="220" t="n"/>
      <c r="F88" s="220" t="n"/>
      <c r="G88" s="220" t="n"/>
      <c r="H88" s="220" t="n"/>
      <c r="I88" s="220" t="n"/>
      <c r="J88" s="220" t="n"/>
      <c r="K88" s="220" t="n"/>
      <c r="L88" s="220" t="n"/>
      <c r="M88" s="220" t="n"/>
      <c r="N88" s="220" t="n"/>
      <c r="O88" s="220" t="n"/>
      <c r="P88" s="220" t="n"/>
      <c r="Q88" s="220" t="n"/>
      <c r="R88" s="220" t="n"/>
      <c r="S88" s="220" t="n"/>
      <c r="T88" s="220" t="n"/>
      <c r="U88" s="220" t="n"/>
      <c r="V88" s="220" t="n"/>
      <c r="W88" s="220" t="n"/>
      <c r="X88" s="220" t="n"/>
      <c r="Y88" s="220" t="n"/>
      <c r="Z88" s="220" t="n"/>
      <c r="AA88" s="220" t="n"/>
      <c r="AB88" s="220" t="n"/>
      <c r="AC88" s="220" t="n"/>
      <c r="AD88" s="220" t="n"/>
      <c r="AE88" s="220" t="n"/>
      <c r="AF88" s="220" t="n"/>
      <c r="AG88" s="220" t="n"/>
      <c r="AH88" s="220" t="n"/>
      <c r="AI88" s="220" t="n"/>
      <c r="AJ88" s="220" t="n"/>
      <c r="AK88" s="220" t="n"/>
      <c r="AL88" s="220" t="n"/>
      <c r="AM88" s="220" t="n"/>
      <c r="AN88" s="220" t="n"/>
      <c r="AO88" s="220" t="n"/>
      <c r="AP88" s="220" t="n"/>
      <c r="AQ88" s="220" t="n"/>
      <c r="AR88" s="220" t="n"/>
      <c r="AS88" s="220" t="n"/>
      <c r="AT88" s="220" t="n"/>
      <c r="AU88" s="220" t="n"/>
      <c r="AV88" s="220" t="n"/>
      <c r="AW88" s="220" t="n"/>
      <c r="AX88" s="220" t="n"/>
      <c r="AY88" s="220" t="n"/>
      <c r="AZ88" s="220" t="n"/>
      <c r="BA88" s="220" t="n"/>
      <c r="BB88" s="220" t="n"/>
      <c r="BC88" s="220" t="n"/>
      <c r="BD88" s="220" t="n"/>
      <c r="BE88" s="220" t="n"/>
      <c r="BF88" s="220" t="n"/>
      <c r="BG88" s="220" t="n"/>
      <c r="BH88" s="220" t="n"/>
      <c r="BI88" s="220" t="n"/>
      <c r="BJ88" s="220" t="n"/>
      <c r="BK88" s="220" t="n"/>
      <c r="BL88" s="220" t="n"/>
      <c r="BM88" s="220" t="n"/>
      <c r="BN88" s="220" t="n"/>
      <c r="BO88" s="220" t="n"/>
      <c r="BP88" s="220" t="n"/>
    </row>
    <row r="89" ht="15" customHeight="1">
      <c r="A89" s="220" t="n"/>
      <c r="B89" s="220" t="n"/>
      <c r="C89" s="220" t="n"/>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0" t="n"/>
      <c r="AJ89" s="220" t="n"/>
      <c r="AK89" s="220" t="n"/>
      <c r="AL89" s="220" t="n"/>
      <c r="AM89" s="220" t="n"/>
      <c r="AN89" s="220" t="n"/>
      <c r="AO89" s="220" t="n"/>
      <c r="AP89" s="220" t="n"/>
      <c r="AQ89" s="220" t="n"/>
      <c r="AR89" s="220" t="n"/>
      <c r="AS89" s="220" t="n"/>
      <c r="AT89" s="220" t="n"/>
      <c r="AU89" s="220" t="n"/>
      <c r="AV89" s="220" t="n"/>
      <c r="AW89" s="220" t="n"/>
      <c r="AX89" s="220" t="n"/>
      <c r="AY89" s="220" t="n"/>
      <c r="AZ89" s="220" t="n"/>
      <c r="BA89" s="220" t="n"/>
      <c r="BB89" s="220" t="n"/>
      <c r="BC89" s="220" t="n"/>
      <c r="BD89" s="220" t="n"/>
      <c r="BE89" s="220" t="n"/>
      <c r="BF89" s="220" t="n"/>
      <c r="BG89" s="220" t="n"/>
      <c r="BH89" s="220" t="n"/>
      <c r="BI89" s="220" t="n"/>
      <c r="BJ89" s="220" t="n"/>
      <c r="BK89" s="220" t="n"/>
      <c r="BL89" s="220" t="n"/>
      <c r="BM89" s="220" t="n"/>
      <c r="BN89" s="220" t="n"/>
      <c r="BO89" s="220" t="n"/>
      <c r="BP89" s="220" t="n"/>
    </row>
    <row r="90" ht="15" customHeight="1">
      <c r="A90" s="220" t="n"/>
      <c r="B90" s="220" t="n"/>
      <c r="C90" s="220" t="n"/>
      <c r="D90" s="220" t="n"/>
      <c r="E90" s="220" t="n"/>
      <c r="F90" s="220" t="n"/>
      <c r="G90" s="220" t="n"/>
      <c r="H90" s="220" t="n"/>
      <c r="I90" s="220" t="n"/>
      <c r="J90" s="220" t="n"/>
      <c r="K90" s="220" t="n"/>
      <c r="L90" s="220" t="n"/>
      <c r="M90" s="220" t="n"/>
      <c r="N90" s="220" t="n"/>
      <c r="O90" s="220" t="n"/>
      <c r="P90" s="220" t="n"/>
      <c r="Q90" s="220" t="n"/>
      <c r="R90" s="220" t="n"/>
      <c r="S90" s="220" t="n"/>
      <c r="T90" s="220" t="n"/>
      <c r="U90" s="220" t="n"/>
      <c r="V90" s="220" t="n"/>
      <c r="W90" s="220" t="n"/>
      <c r="X90" s="220" t="n"/>
      <c r="Y90" s="220" t="n"/>
      <c r="Z90" s="220" t="n"/>
      <c r="AA90" s="220" t="n"/>
      <c r="AB90" s="220" t="n"/>
      <c r="AC90" s="220" t="n"/>
      <c r="AD90" s="220" t="n"/>
      <c r="AE90" s="220" t="n"/>
      <c r="AF90" s="220" t="n"/>
      <c r="AG90" s="220" t="n"/>
      <c r="AH90" s="220" t="n"/>
      <c r="AI90" s="220" t="n"/>
      <c r="AJ90" s="220" t="n"/>
      <c r="AK90" s="220" t="n"/>
      <c r="AL90" s="220" t="n"/>
      <c r="AM90" s="220" t="n"/>
      <c r="AN90" s="220" t="n"/>
      <c r="AO90" s="220" t="n"/>
      <c r="AP90" s="220" t="n"/>
      <c r="AQ90" s="220" t="n"/>
      <c r="AR90" s="220" t="n"/>
      <c r="AS90" s="220" t="n"/>
      <c r="AT90" s="220" t="n"/>
      <c r="AU90" s="220" t="n"/>
      <c r="AV90" s="220" t="n"/>
      <c r="AW90" s="220" t="n"/>
      <c r="AX90" s="220" t="n"/>
      <c r="AY90" s="220" t="n"/>
      <c r="AZ90" s="220" t="n"/>
      <c r="BA90" s="220" t="n"/>
      <c r="BB90" s="220" t="n"/>
      <c r="BC90" s="220" t="n"/>
      <c r="BD90" s="220" t="n"/>
      <c r="BE90" s="220" t="n"/>
      <c r="BF90" s="220" t="n"/>
      <c r="BG90" s="220" t="n"/>
      <c r="BH90" s="220" t="n"/>
      <c r="BI90" s="220" t="n"/>
      <c r="BJ90" s="220" t="n"/>
      <c r="BK90" s="220" t="n"/>
      <c r="BL90" s="220" t="n"/>
      <c r="BM90" s="220" t="n"/>
      <c r="BN90" s="220" t="n"/>
      <c r="BO90" s="220" t="n"/>
      <c r="BP90" s="220" t="n"/>
    </row>
    <row r="91" ht="15" customHeight="1">
      <c r="A91" s="220" t="n"/>
      <c r="B91" s="220" t="n"/>
      <c r="C91" s="220" t="n"/>
      <c r="D91" s="220" t="n"/>
      <c r="E91" s="220" t="n"/>
      <c r="F91" s="220" t="n"/>
      <c r="G91" s="220" t="n"/>
      <c r="H91" s="220" t="n"/>
      <c r="I91" s="220" t="n"/>
      <c r="J91" s="220" t="n"/>
      <c r="K91" s="220" t="n"/>
      <c r="L91" s="220" t="n"/>
      <c r="M91" s="220" t="n"/>
      <c r="N91" s="220" t="n"/>
      <c r="O91" s="220" t="n"/>
      <c r="P91" s="220" t="n"/>
      <c r="Q91" s="220" t="n"/>
      <c r="R91" s="220" t="n"/>
      <c r="S91" s="220" t="n"/>
      <c r="T91" s="220" t="n"/>
      <c r="U91" s="220" t="n"/>
      <c r="V91" s="220" t="n"/>
      <c r="W91" s="220" t="n"/>
      <c r="X91" s="220" t="n"/>
      <c r="Y91" s="220" t="n"/>
      <c r="Z91" s="220" t="n"/>
      <c r="AA91" s="220" t="n"/>
      <c r="AB91" s="220" t="n"/>
      <c r="AC91" s="220" t="n"/>
      <c r="AD91" s="220" t="n"/>
      <c r="AE91" s="220" t="n"/>
      <c r="AF91" s="220" t="n"/>
      <c r="AG91" s="220" t="n"/>
      <c r="AH91" s="220" t="n"/>
      <c r="AI91" s="220" t="n"/>
      <c r="AJ91" s="220" t="n"/>
      <c r="AK91" s="220" t="n"/>
      <c r="AL91" s="220" t="n"/>
      <c r="AM91" s="220" t="n"/>
      <c r="AN91" s="220" t="n"/>
      <c r="AO91" s="220" t="n"/>
      <c r="AP91" s="220" t="n"/>
      <c r="AQ91" s="220" t="n"/>
      <c r="AR91" s="220" t="n"/>
      <c r="AS91" s="220" t="n"/>
      <c r="AT91" s="220" t="n"/>
      <c r="AU91" s="220" t="n"/>
      <c r="AV91" s="220" t="n"/>
      <c r="AW91" s="220" t="n"/>
      <c r="AX91" s="220" t="n"/>
      <c r="AY91" s="220" t="n"/>
      <c r="AZ91" s="220" t="n"/>
      <c r="BA91" s="220" t="n"/>
      <c r="BB91" s="220" t="n"/>
      <c r="BC91" s="220" t="n"/>
      <c r="BD91" s="220" t="n"/>
      <c r="BE91" s="220" t="n"/>
      <c r="BF91" s="220" t="n"/>
      <c r="BG91" s="220" t="n"/>
      <c r="BH91" s="220" t="n"/>
      <c r="BI91" s="220" t="n"/>
      <c r="BJ91" s="220" t="n"/>
      <c r="BK91" s="220" t="n"/>
      <c r="BL91" s="220" t="n"/>
      <c r="BM91" s="220" t="n"/>
      <c r="BN91" s="220" t="n"/>
      <c r="BO91" s="220" t="n"/>
      <c r="BP91" s="220" t="n"/>
    </row>
    <row r="92" ht="15" customHeight="1">
      <c r="A92" s="220" t="n"/>
      <c r="B92" s="220" t="n"/>
      <c r="C92" s="220" t="n"/>
      <c r="D92" s="220" t="n"/>
      <c r="E92" s="220" t="n"/>
      <c r="F92" s="220" t="n"/>
      <c r="G92" s="220" t="n"/>
      <c r="H92" s="220" t="n"/>
      <c r="I92" s="220" t="n"/>
      <c r="J92" s="220" t="n"/>
      <c r="K92" s="220" t="n"/>
      <c r="L92" s="220" t="n"/>
      <c r="M92" s="220" t="n"/>
      <c r="N92" s="220" t="n"/>
      <c r="O92" s="220" t="n"/>
      <c r="P92" s="220" t="n"/>
      <c r="Q92" s="220" t="n"/>
      <c r="R92" s="220" t="n"/>
      <c r="S92" s="220" t="n"/>
      <c r="T92" s="220" t="n"/>
      <c r="U92" s="220" t="n"/>
      <c r="V92" s="220" t="n"/>
      <c r="W92" s="220" t="n"/>
      <c r="X92" s="220" t="n"/>
      <c r="Y92" s="220" t="n"/>
      <c r="Z92" s="220" t="n"/>
      <c r="AA92" s="220" t="n"/>
      <c r="AB92" s="220" t="n"/>
      <c r="AC92" s="220" t="n"/>
      <c r="AD92" s="220" t="n"/>
      <c r="AE92" s="220" t="n"/>
      <c r="AF92" s="220" t="n"/>
      <c r="AG92" s="220" t="n"/>
      <c r="AH92" s="220" t="n"/>
      <c r="AI92" s="220" t="n"/>
      <c r="AJ92" s="220" t="n"/>
      <c r="AK92" s="220" t="n"/>
      <c r="AL92" s="220" t="n"/>
      <c r="AM92" s="220" t="n"/>
      <c r="AN92" s="220" t="n"/>
      <c r="AO92" s="220" t="n"/>
      <c r="AP92" s="220" t="n"/>
      <c r="AQ92" s="220" t="n"/>
      <c r="AR92" s="220" t="n"/>
      <c r="AS92" s="220" t="n"/>
      <c r="AT92" s="220" t="n"/>
      <c r="AU92" s="220" t="n"/>
      <c r="AV92" s="220" t="n"/>
      <c r="AW92" s="220" t="n"/>
      <c r="AX92" s="220" t="n"/>
      <c r="AY92" s="220" t="n"/>
      <c r="AZ92" s="220" t="n"/>
      <c r="BA92" s="220" t="n"/>
      <c r="BB92" s="220" t="n"/>
      <c r="BC92" s="220" t="n"/>
      <c r="BD92" s="220" t="n"/>
      <c r="BE92" s="220" t="n"/>
      <c r="BF92" s="220" t="n"/>
      <c r="BG92" s="220" t="n"/>
      <c r="BH92" s="220" t="n"/>
      <c r="BI92" s="220" t="n"/>
      <c r="BJ92" s="220" t="n"/>
      <c r="BK92" s="220" t="n"/>
      <c r="BL92" s="220" t="n"/>
      <c r="BM92" s="220" t="n"/>
      <c r="BN92" s="220" t="n"/>
      <c r="BO92" s="220" t="n"/>
      <c r="BP92" s="220" t="n"/>
    </row>
    <row r="93" ht="15" customHeight="1">
      <c r="A93" s="220" t="n"/>
      <c r="B93" s="220" t="n"/>
      <c r="C93" s="220" t="n"/>
      <c r="D93" s="220" t="n"/>
      <c r="E93" s="220" t="n"/>
      <c r="F93" s="220" t="n"/>
      <c r="G93" s="220" t="n"/>
      <c r="H93" s="220" t="n"/>
      <c r="I93" s="220" t="n"/>
      <c r="J93" s="220" t="n"/>
      <c r="K93" s="220" t="n"/>
      <c r="L93" s="220" t="n"/>
      <c r="M93" s="220" t="n"/>
      <c r="N93" s="220" t="n"/>
      <c r="O93" s="220" t="n"/>
      <c r="P93" s="220" t="n"/>
      <c r="Q93" s="220" t="n"/>
      <c r="R93" s="220" t="n"/>
      <c r="S93" s="220" t="n"/>
      <c r="T93" s="220" t="n"/>
      <c r="U93" s="220" t="n"/>
      <c r="V93" s="220" t="n"/>
      <c r="W93" s="220" t="n"/>
      <c r="X93" s="220" t="n"/>
      <c r="Y93" s="220" t="n"/>
      <c r="Z93" s="220" t="n"/>
      <c r="AA93" s="220" t="n"/>
      <c r="AB93" s="220" t="n"/>
      <c r="AC93" s="220" t="n"/>
      <c r="AD93" s="220" t="n"/>
      <c r="AE93" s="220" t="n"/>
      <c r="AF93" s="220" t="n"/>
      <c r="AG93" s="220" t="n"/>
      <c r="AH93" s="220" t="n"/>
      <c r="AI93" s="220" t="n"/>
      <c r="AJ93" s="220" t="n"/>
      <c r="AK93" s="220" t="n"/>
      <c r="AL93" s="220" t="n"/>
      <c r="AM93" s="220" t="n"/>
      <c r="AN93" s="220" t="n"/>
      <c r="AO93" s="220" t="n"/>
      <c r="AP93" s="220" t="n"/>
      <c r="AQ93" s="220" t="n"/>
      <c r="AR93" s="220" t="n"/>
      <c r="AS93" s="220" t="n"/>
      <c r="AT93" s="220" t="n"/>
      <c r="AU93" s="220" t="n"/>
      <c r="AV93" s="220" t="n"/>
      <c r="AW93" s="220" t="n"/>
      <c r="AX93" s="220" t="n"/>
      <c r="AY93" s="220" t="n"/>
      <c r="AZ93" s="220" t="n"/>
      <c r="BA93" s="220" t="n"/>
      <c r="BB93" s="220" t="n"/>
      <c r="BC93" s="220" t="n"/>
      <c r="BD93" s="220" t="n"/>
      <c r="BE93" s="220" t="n"/>
      <c r="BF93" s="220" t="n"/>
      <c r="BG93" s="220" t="n"/>
      <c r="BH93" s="220" t="n"/>
      <c r="BI93" s="220" t="n"/>
      <c r="BJ93" s="220" t="n"/>
      <c r="BK93" s="220" t="n"/>
      <c r="BL93" s="220" t="n"/>
      <c r="BM93" s="220" t="n"/>
      <c r="BN93" s="220" t="n"/>
      <c r="BO93" s="220" t="n"/>
      <c r="BP93" s="220" t="n"/>
    </row>
    <row r="94" ht="15" customHeight="1">
      <c r="A94" s="220" t="n"/>
      <c r="B94" s="220" t="n"/>
      <c r="C94" s="220" t="n"/>
      <c r="D94" s="220" t="n"/>
      <c r="E94" s="220" t="n"/>
      <c r="F94" s="220" t="n"/>
      <c r="G94" s="220" t="n"/>
      <c r="H94" s="220" t="n"/>
      <c r="I94" s="220" t="n"/>
      <c r="J94" s="220" t="n"/>
      <c r="K94" s="220" t="n"/>
      <c r="L94" s="220" t="n"/>
      <c r="M94" s="220" t="n"/>
      <c r="N94" s="220" t="n"/>
      <c r="O94" s="220" t="n"/>
      <c r="P94" s="220" t="n"/>
      <c r="Q94" s="220" t="n"/>
      <c r="R94" s="220" t="n"/>
      <c r="S94" s="220" t="n"/>
      <c r="T94" s="220" t="n"/>
      <c r="U94" s="220" t="n"/>
      <c r="V94" s="220" t="n"/>
      <c r="W94" s="220" t="n"/>
      <c r="X94" s="220" t="n"/>
      <c r="Y94" s="220" t="n"/>
      <c r="Z94" s="220" t="n"/>
      <c r="AA94" s="220" t="n"/>
      <c r="AB94" s="220" t="n"/>
      <c r="AC94" s="220" t="n"/>
      <c r="AD94" s="220" t="n"/>
      <c r="AE94" s="220" t="n"/>
      <c r="AF94" s="220" t="n"/>
      <c r="AG94" s="220" t="n"/>
      <c r="AH94" s="220" t="n"/>
      <c r="AI94" s="220" t="n"/>
      <c r="AJ94" s="220" t="n"/>
      <c r="AK94" s="220" t="n"/>
      <c r="AL94" s="220" t="n"/>
      <c r="AM94" s="220" t="n"/>
      <c r="AN94" s="220" t="n"/>
      <c r="AO94" s="220" t="n"/>
      <c r="AP94" s="220" t="n"/>
      <c r="AQ94" s="220" t="n"/>
      <c r="AR94" s="220" t="n"/>
      <c r="AS94" s="220" t="n"/>
      <c r="AT94" s="220" t="n"/>
      <c r="AU94" s="220" t="n"/>
      <c r="AV94" s="220" t="n"/>
      <c r="AW94" s="220" t="n"/>
      <c r="AX94" s="220" t="n"/>
      <c r="AY94" s="220" t="n"/>
      <c r="AZ94" s="220" t="n"/>
      <c r="BA94" s="220" t="n"/>
      <c r="BB94" s="220" t="n"/>
      <c r="BC94" s="220" t="n"/>
      <c r="BD94" s="220" t="n"/>
      <c r="BE94" s="220" t="n"/>
      <c r="BF94" s="220" t="n"/>
      <c r="BG94" s="220" t="n"/>
      <c r="BH94" s="220" t="n"/>
      <c r="BI94" s="220" t="n"/>
      <c r="BJ94" s="220" t="n"/>
      <c r="BK94" s="220" t="n"/>
      <c r="BL94" s="220" t="n"/>
      <c r="BM94" s="220" t="n"/>
      <c r="BN94" s="220" t="n"/>
      <c r="BO94" s="220" t="n"/>
      <c r="BP94" s="220" t="n"/>
    </row>
    <row r="95" ht="15" customHeight="1">
      <c r="A95" s="220" t="n"/>
      <c r="B95" s="220" t="n"/>
      <c r="C95" s="220" t="n"/>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0" t="n"/>
      <c r="AJ95" s="220" t="n"/>
      <c r="AK95" s="220" t="n"/>
      <c r="AL95" s="220" t="n"/>
      <c r="AM95" s="220" t="n"/>
      <c r="AN95" s="220" t="n"/>
      <c r="AO95" s="220" t="n"/>
      <c r="AP95" s="220" t="n"/>
      <c r="AQ95" s="220" t="n"/>
      <c r="AR95" s="220" t="n"/>
      <c r="AS95" s="220" t="n"/>
      <c r="AT95" s="220" t="n"/>
      <c r="AU95" s="220" t="n"/>
      <c r="AV95" s="220" t="n"/>
      <c r="AW95" s="220" t="n"/>
      <c r="AX95" s="220" t="n"/>
      <c r="AY95" s="220" t="n"/>
      <c r="AZ95" s="220" t="n"/>
      <c r="BA95" s="220" t="n"/>
      <c r="BB95" s="220" t="n"/>
      <c r="BC95" s="220" t="n"/>
      <c r="BD95" s="220" t="n"/>
      <c r="BE95" s="220" t="n"/>
      <c r="BF95" s="220" t="n"/>
      <c r="BG95" s="220" t="n"/>
      <c r="BH95" s="220" t="n"/>
      <c r="BI95" s="220" t="n"/>
      <c r="BJ95" s="220" t="n"/>
      <c r="BK95" s="220" t="n"/>
      <c r="BL95" s="220" t="n"/>
      <c r="BM95" s="220" t="n"/>
      <c r="BN95" s="220" t="n"/>
      <c r="BO95" s="220" t="n"/>
      <c r="BP95" s="220" t="n"/>
    </row>
    <row r="96" ht="15" customHeight="1">
      <c r="A96" s="220" t="n"/>
      <c r="B96" s="220" t="n"/>
      <c r="C96" s="220" t="n"/>
      <c r="D96" s="220" t="n"/>
      <c r="E96" s="220" t="n"/>
      <c r="F96" s="220" t="n"/>
      <c r="G96" s="220" t="n"/>
      <c r="H96" s="220" t="n"/>
      <c r="I96" s="220" t="n"/>
      <c r="J96" s="220" t="n"/>
      <c r="K96" s="220" t="n"/>
      <c r="L96" s="220" t="n"/>
      <c r="M96" s="220" t="n"/>
      <c r="N96" s="220" t="n"/>
      <c r="O96" s="220" t="n"/>
      <c r="P96" s="220" t="n"/>
      <c r="Q96" s="220" t="n"/>
      <c r="R96" s="220" t="n"/>
      <c r="S96" s="220" t="n"/>
      <c r="T96" s="220" t="n"/>
      <c r="U96" s="220" t="n"/>
      <c r="V96" s="220" t="n"/>
      <c r="W96" s="220" t="n"/>
      <c r="X96" s="220" t="n"/>
      <c r="Y96" s="220" t="n"/>
      <c r="Z96" s="220" t="n"/>
      <c r="AA96" s="220" t="n"/>
      <c r="AB96" s="220" t="n"/>
      <c r="AC96" s="220" t="n"/>
      <c r="AD96" s="220" t="n"/>
      <c r="AE96" s="220" t="n"/>
      <c r="AF96" s="220" t="n"/>
      <c r="AG96" s="220" t="n"/>
      <c r="AH96" s="220" t="n"/>
      <c r="AI96" s="220" t="n"/>
      <c r="AJ96" s="220" t="n"/>
      <c r="AK96" s="220" t="n"/>
      <c r="AL96" s="220" t="n"/>
      <c r="AM96" s="220" t="n"/>
      <c r="AN96" s="220" t="n"/>
      <c r="AO96" s="220" t="n"/>
      <c r="AP96" s="220" t="n"/>
      <c r="AQ96" s="220" t="n"/>
      <c r="AR96" s="220" t="n"/>
      <c r="AS96" s="220" t="n"/>
      <c r="AT96" s="220" t="n"/>
      <c r="AU96" s="220" t="n"/>
      <c r="AV96" s="220" t="n"/>
      <c r="AW96" s="220" t="n"/>
      <c r="AX96" s="220" t="n"/>
      <c r="AY96" s="220" t="n"/>
      <c r="AZ96" s="220" t="n"/>
      <c r="BA96" s="220" t="n"/>
      <c r="BB96" s="220" t="n"/>
      <c r="BC96" s="220" t="n"/>
      <c r="BD96" s="220" t="n"/>
      <c r="BE96" s="220" t="n"/>
      <c r="BF96" s="220" t="n"/>
      <c r="BG96" s="220" t="n"/>
      <c r="BH96" s="220" t="n"/>
      <c r="BI96" s="220" t="n"/>
      <c r="BJ96" s="220" t="n"/>
      <c r="BK96" s="220" t="n"/>
      <c r="BL96" s="220" t="n"/>
      <c r="BM96" s="220" t="n"/>
      <c r="BN96" s="220" t="n"/>
      <c r="BO96" s="220" t="n"/>
      <c r="BP96" s="220" t="n"/>
    </row>
  </sheetData>
  <mergeCells count="42">
    <mergeCell ref="S37:U37"/>
    <mergeCell ref="S28:U28"/>
    <mergeCell ref="Q28:R28"/>
    <mergeCell ref="Q15:U16"/>
    <mergeCell ref="V8:W8"/>
    <mergeCell ref="Q18:R18"/>
    <mergeCell ref="S34:U34"/>
    <mergeCell ref="S53:U53"/>
    <mergeCell ref="S33:U33"/>
    <mergeCell ref="V10:W10"/>
    <mergeCell ref="Q11:R12"/>
    <mergeCell ref="Q20:R20"/>
    <mergeCell ref="Q23:U23"/>
    <mergeCell ref="S36:U36"/>
    <mergeCell ref="S45:U45"/>
    <mergeCell ref="Q19:R19"/>
    <mergeCell ref="Q26:R26"/>
    <mergeCell ref="V9:W9"/>
    <mergeCell ref="S55:U55"/>
    <mergeCell ref="S35:U35"/>
    <mergeCell ref="Q50:U50"/>
    <mergeCell ref="Q31:U31"/>
    <mergeCell ref="S54:U54"/>
    <mergeCell ref="Q7:R10"/>
    <mergeCell ref="Q40:U40"/>
    <mergeCell ref="S51:U51"/>
    <mergeCell ref="S44:U44"/>
    <mergeCell ref="S26:U26"/>
    <mergeCell ref="Q49:U49"/>
    <mergeCell ref="B2:B4"/>
    <mergeCell ref="Q24:U25"/>
    <mergeCell ref="Q27:R27"/>
    <mergeCell ref="S43:U43"/>
    <mergeCell ref="V7:W7"/>
    <mergeCell ref="S46:U46"/>
    <mergeCell ref="C2:D4"/>
    <mergeCell ref="S27:U27"/>
    <mergeCell ref="S42:U42"/>
    <mergeCell ref="Q41:U41"/>
    <mergeCell ref="S52:U52"/>
    <mergeCell ref="Q32:U32"/>
    <mergeCell ref="Q6:W6"/>
  </mergeCells>
  <conditionalFormatting sqref="C14:O14">
    <cfRule type="expression" priority="1" dxfId="131">
      <formula>=LEN(TRIM(C14))=0</formula>
    </cfRule>
    <cfRule type="cellIs" priority="2" operator="greaterThan" dxfId="130">
      <formula>5.7</formula>
    </cfRule>
    <cfRule type="cellIs" priority="3" operator="greaterThanOrEqual" dxfId="129">
      <formula>5.4</formula>
    </cfRule>
    <cfRule type="cellIs" priority="4" operator="lessThan" dxfId="126">
      <formula>5.4</formula>
    </cfRule>
  </conditionalFormatting>
  <conditionalFormatting sqref="C15:O15">
    <cfRule type="expression" priority="5" dxfId="131">
      <formula>=LEN(TRIM(C15))=0</formula>
    </cfRule>
    <cfRule type="cellIs" priority="6" operator="greaterThan" dxfId="130">
      <formula>5.4</formula>
    </cfRule>
    <cfRule type="cellIs" priority="7" operator="greaterThanOrEqual" dxfId="129">
      <formula>5.0</formula>
    </cfRule>
    <cfRule type="cellIs" priority="8" operator="lessThan" dxfId="126">
      <formula>5.0</formula>
    </cfRule>
  </conditionalFormatting>
  <conditionalFormatting sqref="C16:O16">
    <cfRule type="expression" priority="9" dxfId="131">
      <formula>=LEN(TRIM(C16))=0</formula>
    </cfRule>
    <cfRule type="cellIs" priority="10" operator="greaterThan" dxfId="130">
      <formula>5.4</formula>
    </cfRule>
    <cfRule type="cellIs" priority="11" operator="greaterThanOrEqual" dxfId="129">
      <formula>5.0</formula>
    </cfRule>
    <cfRule type="cellIs" priority="12" operator="lessThan" dxfId="126">
      <formula>5.0</formula>
    </cfRule>
  </conditionalFormatting>
  <conditionalFormatting sqref="C17:O17">
    <cfRule type="expression" priority="13" dxfId="131">
      <formula>=LEN(TRIM(C17))=0</formula>
    </cfRule>
    <cfRule type="cellIs" priority="14" operator="greaterThan" dxfId="130">
      <formula>5.4</formula>
    </cfRule>
    <cfRule type="cellIs" priority="15" operator="greaterThanOrEqual" dxfId="129">
      <formula>5.0</formula>
    </cfRule>
    <cfRule type="cellIs" priority="16" operator="lessThan" dxfId="126">
      <formula>5.0</formula>
    </cfRule>
  </conditionalFormatting>
  <conditionalFormatting sqref="C18">
    <cfRule type="expression" priority="17" dxfId="131">
      <formula>=LEN(TRIM(C18))=0</formula>
    </cfRule>
    <cfRule type="cellIs" priority="18" operator="greaterThan" dxfId="130">
      <formula>5.4</formula>
    </cfRule>
    <cfRule type="cellIs" priority="19" operator="greaterThanOrEqual" dxfId="129">
      <formula>5.0</formula>
    </cfRule>
    <cfRule type="cellIs" priority="20" operator="lessThan" dxfId="126">
      <formula>5.0</formula>
    </cfRule>
  </conditionalFormatting>
  <conditionalFormatting sqref="D18:O18">
    <cfRule type="expression" priority="21" dxfId="131">
      <formula>=LEN(TRIM(D18))=0</formula>
    </cfRule>
    <cfRule type="cellIs" priority="22" operator="greaterThan" dxfId="130">
      <formula>5.7</formula>
    </cfRule>
    <cfRule type="cellIs" priority="23" operator="greaterThanOrEqual" dxfId="129">
      <formula>5.4</formula>
    </cfRule>
    <cfRule type="cellIs" priority="24" operator="lessThan" dxfId="126">
      <formula>5.4</formula>
    </cfRule>
  </conditionalFormatting>
  <conditionalFormatting sqref="C19:O19">
    <cfRule type="expression" priority="25" dxfId="131">
      <formula>=LEN(TRIM(C19))=0</formula>
    </cfRule>
    <cfRule type="cellIs" priority="26" operator="greaterThan" dxfId="130">
      <formula>5.4</formula>
    </cfRule>
    <cfRule type="cellIs" priority="27" operator="greaterThanOrEqual" dxfId="129">
      <formula>5.0</formula>
    </cfRule>
    <cfRule type="cellIs" priority="28" operator="lessThan" dxfId="126">
      <formula>5.0</formula>
    </cfRule>
  </conditionalFormatting>
  <conditionalFormatting sqref="C20:O20">
    <cfRule type="expression" priority="29" dxfId="131">
      <formula>=LEN(TRIM(C20))=0</formula>
    </cfRule>
    <cfRule type="cellIs" priority="30" operator="greaterThan" dxfId="130">
      <formula>5.4</formula>
    </cfRule>
    <cfRule type="cellIs" priority="31" operator="greaterThanOrEqual" dxfId="129">
      <formula>5.0</formula>
    </cfRule>
    <cfRule type="cellIs" priority="32" operator="lessThan" dxfId="126">
      <formula>5.0</formula>
    </cfRule>
  </conditionalFormatting>
  <conditionalFormatting sqref="C21:O21">
    <cfRule type="expression" priority="33" dxfId="131">
      <formula>=LEN(TRIM(C21))=0</formula>
    </cfRule>
    <cfRule type="cellIs" priority="34" operator="greaterThan" dxfId="130">
      <formula>5.4</formula>
    </cfRule>
    <cfRule type="cellIs" priority="35" operator="greaterThanOrEqual" dxfId="129">
      <formula>5.0</formula>
    </cfRule>
    <cfRule type="cellIs" priority="36" operator="lessThan" dxfId="126">
      <formula>5.0</formula>
    </cfRule>
  </conditionalFormatting>
  <conditionalFormatting sqref="C22:O22">
    <cfRule type="expression" priority="37" dxfId="131">
      <formula>=LEN(TRIM(C22))=0</formula>
    </cfRule>
    <cfRule type="cellIs" priority="38" operator="greaterThan" dxfId="130">
      <formula>5.4</formula>
    </cfRule>
    <cfRule type="cellIs" priority="39" operator="greaterThanOrEqual" dxfId="129">
      <formula>5.0</formula>
    </cfRule>
    <cfRule type="cellIs" priority="40" operator="lessThan" dxfId="126">
      <formula>5.0</formula>
    </cfRule>
  </conditionalFormatting>
  <conditionalFormatting sqref="C23:O23">
    <cfRule type="expression" priority="41" dxfId="131">
      <formula>=LEN(TRIM(C23))=0</formula>
    </cfRule>
    <cfRule type="cellIs" priority="42" operator="greaterThan" dxfId="130">
      <formula>5.0</formula>
    </cfRule>
    <cfRule type="cellIs" priority="43" operator="greaterThanOrEqual" dxfId="129">
      <formula>4.5</formula>
    </cfRule>
    <cfRule type="cellIs" priority="44" operator="lessThan" dxfId="126">
      <formula>4.5</formula>
    </cfRule>
  </conditionalFormatting>
  <conditionalFormatting sqref="C26:O26">
    <cfRule type="expression" priority="45" dxfId="131">
      <formula>=LEN(TRIM(C26))=0</formula>
    </cfRule>
    <cfRule type="cellIs" priority="46" operator="lessThan" dxfId="130">
      <formula>0.025</formula>
    </cfRule>
    <cfRule type="cellIs" priority="47" operator="lessThan" dxfId="129">
      <formula>0.04</formula>
    </cfRule>
    <cfRule type="cellIs" priority="48" operator="greaterThanOrEqual" dxfId="126">
      <formula>0.04</formula>
    </cfRule>
  </conditionalFormatting>
  <conditionalFormatting sqref="C27:O27">
    <cfRule type="expression" priority="49" dxfId="131">
      <formula>=LEN(TRIM(C27))=0</formula>
    </cfRule>
    <cfRule type="cellIs" priority="50" operator="lessThan" dxfId="130">
      <formula>0.025</formula>
    </cfRule>
    <cfRule type="cellIs" priority="51" operator="lessThan" dxfId="129">
      <formula>0.04</formula>
    </cfRule>
    <cfRule type="cellIs" priority="52" operator="greaterThanOrEqual" dxfId="126">
      <formula>0.04</formula>
    </cfRule>
  </conditionalFormatting>
  <conditionalFormatting sqref="C28:O28">
    <cfRule type="expression" priority="53" dxfId="131">
      <formula>=LEN(TRIM(C28))=0</formula>
    </cfRule>
    <cfRule type="cellIs" priority="54" operator="lessThan" dxfId="130">
      <formula>0.025</formula>
    </cfRule>
    <cfRule type="cellIs" priority="55" operator="lessThan" dxfId="129">
      <formula>0.04</formula>
    </cfRule>
    <cfRule type="cellIs" priority="56" operator="greaterThanOrEqual" dxfId="126">
      <formula>0.04</formula>
    </cfRule>
  </conditionalFormatting>
  <conditionalFormatting sqref="C29:O29">
    <cfRule type="expression" priority="57" dxfId="131">
      <formula>=LEN(TRIM(C29))=0</formula>
    </cfRule>
    <cfRule type="cellIs" priority="58" operator="lessThan" dxfId="130">
      <formula>0.025</formula>
    </cfRule>
    <cfRule type="cellIs" priority="59" operator="lessThan" dxfId="129">
      <formula>0.04</formula>
    </cfRule>
    <cfRule type="cellIs" priority="60" operator="greaterThanOrEqual" dxfId="126">
      <formula>0.04</formula>
    </cfRule>
  </conditionalFormatting>
  <conditionalFormatting sqref="C30:O30">
    <cfRule type="expression" priority="61" dxfId="131">
      <formula>=LEN(TRIM(C30))=0</formula>
    </cfRule>
    <cfRule type="cellIs" priority="62" operator="lessThan" dxfId="130">
      <formula>0.025</formula>
    </cfRule>
    <cfRule type="cellIs" priority="63" operator="lessThan" dxfId="129">
      <formula>0.04</formula>
    </cfRule>
    <cfRule type="cellIs" priority="64" operator="greaterThanOrEqual" dxfId="126">
      <formula>0.04</formula>
    </cfRule>
  </conditionalFormatting>
  <conditionalFormatting sqref="C31:O31">
    <cfRule type="expression" priority="65" dxfId="131">
      <formula>=LEN(TRIM(C31))=0</formula>
    </cfRule>
    <cfRule type="cellIs" priority="66" operator="lessThan" dxfId="130">
      <formula>0.025</formula>
    </cfRule>
    <cfRule type="cellIs" priority="67" operator="lessThan" dxfId="129">
      <formula>0.04</formula>
    </cfRule>
    <cfRule type="cellIs" priority="68" operator="greaterThanOrEqual" dxfId="126">
      <formula>0.04</formula>
    </cfRule>
  </conditionalFormatting>
  <conditionalFormatting sqref="C32:O32">
    <cfRule type="expression" priority="69" dxfId="131">
      <formula>=LEN(TRIM(C32))=0</formula>
    </cfRule>
    <cfRule type="cellIs" priority="70" operator="lessThan" dxfId="130">
      <formula>0.025</formula>
    </cfRule>
    <cfRule type="cellIs" priority="71" operator="lessThan" dxfId="129">
      <formula>0.04</formula>
    </cfRule>
    <cfRule type="cellIs" priority="72" operator="greaterThanOrEqual" dxfId="126">
      <formula>0.04</formula>
    </cfRule>
  </conditionalFormatting>
  <conditionalFormatting sqref="C33:O33">
    <cfRule type="expression" priority="73" dxfId="131">
      <formula>=LEN(TRIM(C33))=0</formula>
    </cfRule>
    <cfRule type="cellIs" priority="74" operator="lessThan" dxfId="130">
      <formula>0.025</formula>
    </cfRule>
    <cfRule type="cellIs" priority="75" operator="lessThan" dxfId="129">
      <formula>0.04</formula>
    </cfRule>
    <cfRule type="cellIs" priority="76" operator="greaterThanOrEqual" dxfId="126">
      <formula>0.04</formula>
    </cfRule>
  </conditionalFormatting>
  <conditionalFormatting sqref="C34:O34">
    <cfRule type="expression" priority="77" dxfId="131">
      <formula>=LEN(TRIM(C34))=0</formula>
    </cfRule>
    <cfRule type="cellIs" priority="78" operator="lessThan" dxfId="130">
      <formula>0.025</formula>
    </cfRule>
    <cfRule type="cellIs" priority="79" operator="lessThan" dxfId="129">
      <formula>0.04</formula>
    </cfRule>
    <cfRule type="cellIs" priority="80" operator="greaterThanOrEqual" dxfId="126">
      <formula>0.04</formula>
    </cfRule>
  </conditionalFormatting>
  <conditionalFormatting sqref="C35:O35">
    <cfRule type="expression" priority="81" dxfId="131">
      <formula>=LEN(TRIM(C35))=0</formula>
    </cfRule>
    <cfRule type="cellIs" priority="82" operator="lessThan" dxfId="130">
      <formula>0.025</formula>
    </cfRule>
    <cfRule type="cellIs" priority="83" operator="lessThan" dxfId="129">
      <formula>0.04</formula>
    </cfRule>
    <cfRule type="cellIs" priority="84" operator="greaterThanOrEqual" dxfId="126">
      <formula>0.04</formula>
    </cfRule>
  </conditionalFormatting>
  <conditionalFormatting sqref="C38:O38">
    <cfRule type="expression" priority="85" dxfId="131">
      <formula>=LEN(TRIM(C38))=0</formula>
    </cfRule>
    <cfRule type="cellIs" priority="86" operator="greaterThanOrEqual" dxfId="130">
      <formula>4.5</formula>
    </cfRule>
    <cfRule type="cellIs" priority="87" operator="greaterThanOrEqual" dxfId="129">
      <formula>3.5</formula>
    </cfRule>
    <cfRule type="cellIs" priority="88" operator="greaterThanOrEqual" dxfId="128">
      <formula>2.5</formula>
    </cfRule>
    <cfRule type="cellIs" priority="89" operator="greaterThanOrEqual" dxfId="127">
      <formula>1.5</formula>
    </cfRule>
    <cfRule type="cellIs" priority="90" operator="lessThan" dxfId="126">
      <formula>1.5</formula>
    </cfRule>
  </conditionalFormatting>
  <conditionalFormatting sqref="C39:O39">
    <cfRule type="expression" priority="91" dxfId="131">
      <formula>=LEN(TRIM(C39))=0</formula>
    </cfRule>
    <cfRule type="cellIs" priority="92" operator="greaterThanOrEqual" dxfId="130">
      <formula>4.5</formula>
    </cfRule>
    <cfRule type="cellIs" priority="93" operator="greaterThanOrEqual" dxfId="129">
      <formula>3.5</formula>
    </cfRule>
    <cfRule type="cellIs" priority="94" operator="greaterThanOrEqual" dxfId="128">
      <formula>2.5</formula>
    </cfRule>
    <cfRule type="cellIs" priority="95" operator="greaterThanOrEqual" dxfId="127">
      <formula>1.5</formula>
    </cfRule>
    <cfRule type="cellIs" priority="96" operator="lessThan" dxfId="126">
      <formula>1.5</formula>
    </cfRule>
  </conditionalFormatting>
  <conditionalFormatting sqref="C40:O40">
    <cfRule type="expression" priority="97" dxfId="131">
      <formula>=LEN(TRIM(C40))=0</formula>
    </cfRule>
    <cfRule type="cellIs" priority="98" operator="greaterThanOrEqual" dxfId="130">
      <formula>4.5</formula>
    </cfRule>
    <cfRule type="cellIs" priority="99" operator="greaterThanOrEqual" dxfId="129">
      <formula>3.5</formula>
    </cfRule>
    <cfRule type="cellIs" priority="100" operator="greaterThanOrEqual" dxfId="128">
      <formula>2.5</formula>
    </cfRule>
    <cfRule type="cellIs" priority="101" operator="greaterThanOrEqual" dxfId="127">
      <formula>1.5</formula>
    </cfRule>
    <cfRule type="cellIs" priority="102" operator="lessThan" dxfId="126">
      <formula>1.5</formula>
    </cfRule>
  </conditionalFormatting>
  <conditionalFormatting sqref="C41:O41">
    <cfRule type="expression" priority="103" dxfId="131">
      <formula>=LEN(TRIM(C41))=0</formula>
    </cfRule>
    <cfRule type="cellIs" priority="104" operator="greaterThanOrEqual" dxfId="130">
      <formula>4.5</formula>
    </cfRule>
    <cfRule type="cellIs" priority="105" operator="greaterThanOrEqual" dxfId="129">
      <formula>3.5</formula>
    </cfRule>
    <cfRule type="cellIs" priority="106" operator="greaterThanOrEqual" dxfId="128">
      <formula>2.5</formula>
    </cfRule>
    <cfRule type="cellIs" priority="107" operator="greaterThanOrEqual" dxfId="127">
      <formula>1.5</formula>
    </cfRule>
    <cfRule type="cellIs" priority="108" operator="lessThan" dxfId="126">
      <formula>1.5</formula>
    </cfRule>
  </conditionalFormatting>
  <conditionalFormatting sqref="C42:O42">
    <cfRule type="expression" priority="109" dxfId="131">
      <formula>=LEN(TRIM(C42))=0</formula>
    </cfRule>
    <cfRule type="cellIs" priority="110" operator="greaterThanOrEqual" dxfId="130">
      <formula>4.5</formula>
    </cfRule>
    <cfRule type="cellIs" priority="111" operator="greaterThanOrEqual" dxfId="129">
      <formula>3.5</formula>
    </cfRule>
    <cfRule type="cellIs" priority="112" operator="greaterThanOrEqual" dxfId="128">
      <formula>2.5</formula>
    </cfRule>
    <cfRule type="cellIs" priority="113" operator="greaterThanOrEqual" dxfId="127">
      <formula>1.5</formula>
    </cfRule>
    <cfRule type="cellIs" priority="114" operator="lessThan" dxfId="126">
      <formula>1.5</formula>
    </cfRule>
  </conditionalFormatting>
  <conditionalFormatting sqref="C43:O43">
    <cfRule type="expression" priority="115" dxfId="131">
      <formula>=LEN(TRIM(C43))=0</formula>
    </cfRule>
    <cfRule type="cellIs" priority="116" operator="greaterThanOrEqual" dxfId="130">
      <formula>4.5</formula>
    </cfRule>
    <cfRule type="cellIs" priority="117" operator="greaterThanOrEqual" dxfId="129">
      <formula>3.5</formula>
    </cfRule>
    <cfRule type="cellIs" priority="118" operator="greaterThanOrEqual" dxfId="128">
      <formula>2.5</formula>
    </cfRule>
    <cfRule type="cellIs" priority="119" operator="greaterThanOrEqual" dxfId="127">
      <formula>1.5</formula>
    </cfRule>
    <cfRule type="cellIs" priority="120" operator="lessThan" dxfId="126">
      <formula>1.5</formula>
    </cfRule>
  </conditionalFormatting>
  <conditionalFormatting sqref="C44:O44">
    <cfRule type="expression" priority="121" dxfId="131">
      <formula>=LEN(TRIM(C44))=0</formula>
    </cfRule>
    <cfRule type="cellIs" priority="122" operator="greaterThanOrEqual" dxfId="130">
      <formula>4.5</formula>
    </cfRule>
    <cfRule type="cellIs" priority="123" operator="greaterThanOrEqual" dxfId="129">
      <formula>3.5</formula>
    </cfRule>
    <cfRule type="cellIs" priority="124" operator="greaterThanOrEqual" dxfId="128">
      <formula>2.5</formula>
    </cfRule>
    <cfRule type="cellIs" priority="125" operator="greaterThanOrEqual" dxfId="127">
      <formula>1.5</formula>
    </cfRule>
    <cfRule type="cellIs" priority="126" operator="lessThan" dxfId="126">
      <formula>1.5</formula>
    </cfRule>
  </conditionalFormatting>
  <conditionalFormatting sqref="C45:O45">
    <cfRule type="expression" priority="127" dxfId="131">
      <formula>=LEN(TRIM(C45))=0</formula>
    </cfRule>
    <cfRule type="cellIs" priority="128" operator="greaterThanOrEqual" dxfId="130">
      <formula>4.5</formula>
    </cfRule>
    <cfRule type="cellIs" priority="129" operator="greaterThanOrEqual" dxfId="129">
      <formula>3.5</formula>
    </cfRule>
    <cfRule type="cellIs" priority="130" operator="greaterThanOrEqual" dxfId="128">
      <formula>2.5</formula>
    </cfRule>
    <cfRule type="cellIs" priority="131" operator="greaterThanOrEqual" dxfId="127">
      <formula>1.5</formula>
    </cfRule>
    <cfRule type="cellIs" priority="132" operator="lessThan" dxfId="126">
      <formula>1.5</formula>
    </cfRule>
  </conditionalFormatting>
  <conditionalFormatting sqref="C46:O46">
    <cfRule type="expression" priority="133" dxfId="131">
      <formula>=LEN(TRIM(C46))=0</formula>
    </cfRule>
    <cfRule type="cellIs" priority="134" operator="greaterThanOrEqual" dxfId="130">
      <formula>4.5</formula>
    </cfRule>
    <cfRule type="cellIs" priority="135" operator="greaterThanOrEqual" dxfId="129">
      <formula>3.5</formula>
    </cfRule>
    <cfRule type="cellIs" priority="136" operator="greaterThanOrEqual" dxfId="128">
      <formula>2.5</formula>
    </cfRule>
    <cfRule type="cellIs" priority="137" operator="greaterThanOrEqual" dxfId="127">
      <formula>1.5</formula>
    </cfRule>
    <cfRule type="cellIs" priority="138" operator="lessThan" dxfId="126">
      <formula>1.5</formula>
    </cfRule>
  </conditionalFormatting>
  <conditionalFormatting sqref="C47:O47">
    <cfRule type="expression" priority="139" dxfId="131">
      <formula>=LEN(TRIM(C47))=0</formula>
    </cfRule>
    <cfRule type="cellIs" priority="140" operator="greaterThanOrEqual" dxfId="130">
      <formula>4.5</formula>
    </cfRule>
    <cfRule type="cellIs" priority="141" operator="greaterThanOrEqual" dxfId="129">
      <formula>3.5</formula>
    </cfRule>
    <cfRule type="cellIs" priority="142" operator="greaterThanOrEqual" dxfId="128">
      <formula>2.5</formula>
    </cfRule>
    <cfRule type="cellIs" priority="143" operator="greaterThanOrEqual" dxfId="127">
      <formula>1.5</formula>
    </cfRule>
    <cfRule type="cellIs" priority="144" operator="lessThan" dxfId="126">
      <formula>1.5</formula>
    </cfRule>
  </conditionalFormatting>
  <conditionalFormatting sqref="C50:O50">
    <cfRule type="expression" priority="145" dxfId="131">
      <formula>=LEN(TRIM(C50))=0</formula>
    </cfRule>
    <cfRule type="cellIs" priority="146" operator="greaterThanOrEqual" dxfId="130">
      <formula>4.5</formula>
    </cfRule>
    <cfRule type="cellIs" priority="147" operator="greaterThanOrEqual" dxfId="129">
      <formula>3.5</formula>
    </cfRule>
    <cfRule type="cellIs" priority="148" operator="greaterThanOrEqual" dxfId="128">
      <formula>2.5</formula>
    </cfRule>
    <cfRule type="cellIs" priority="149" operator="greaterThanOrEqual" dxfId="127">
      <formula>1.5</formula>
    </cfRule>
    <cfRule type="cellIs" priority="150" operator="lessThan" dxfId="126">
      <formula>1.5</formula>
    </cfRule>
  </conditionalFormatting>
  <conditionalFormatting sqref="C51:O51">
    <cfRule type="expression" priority="151" dxfId="131">
      <formula>=LEN(TRIM(C51))=0</formula>
    </cfRule>
    <cfRule type="cellIs" priority="152" operator="greaterThanOrEqual" dxfId="130">
      <formula>4.5</formula>
    </cfRule>
    <cfRule type="cellIs" priority="153" operator="greaterThanOrEqual" dxfId="129">
      <formula>3.5</formula>
    </cfRule>
    <cfRule type="cellIs" priority="154" operator="greaterThanOrEqual" dxfId="128">
      <formula>2.5</formula>
    </cfRule>
    <cfRule type="cellIs" priority="155" operator="greaterThanOrEqual" dxfId="127">
      <formula>1.5</formula>
    </cfRule>
    <cfRule type="cellIs" priority="156" operator="lessThan" dxfId="126">
      <formula>1.5</formula>
    </cfRule>
  </conditionalFormatting>
  <conditionalFormatting sqref="C52:O52">
    <cfRule type="expression" priority="157" dxfId="131">
      <formula>=LEN(TRIM(C52))=0</formula>
    </cfRule>
    <cfRule type="cellIs" priority="158" operator="greaterThanOrEqual" dxfId="130">
      <formula>4.5</formula>
    </cfRule>
    <cfRule type="cellIs" priority="159" operator="greaterThanOrEqual" dxfId="129">
      <formula>3.5</formula>
    </cfRule>
    <cfRule type="cellIs" priority="160" operator="greaterThanOrEqual" dxfId="128">
      <formula>2.5</formula>
    </cfRule>
    <cfRule type="cellIs" priority="161" operator="greaterThanOrEqual" dxfId="127">
      <formula>1.5</formula>
    </cfRule>
    <cfRule type="cellIs" priority="162" operator="lessThan" dxfId="126">
      <formula>1.5</formula>
    </cfRule>
  </conditionalFormatting>
  <conditionalFormatting sqref="C53:O53">
    <cfRule type="expression" priority="163" dxfId="131">
      <formula>=LEN(TRIM(C53))=0</formula>
    </cfRule>
    <cfRule type="cellIs" priority="164" operator="greaterThanOrEqual" dxfId="130">
      <formula>4.5</formula>
    </cfRule>
    <cfRule type="cellIs" priority="165" operator="greaterThanOrEqual" dxfId="129">
      <formula>3.5</formula>
    </cfRule>
    <cfRule type="cellIs" priority="166" operator="greaterThanOrEqual" dxfId="128">
      <formula>2.5</formula>
    </cfRule>
    <cfRule type="cellIs" priority="167" operator="greaterThanOrEqual" dxfId="127">
      <formula>1.5</formula>
    </cfRule>
    <cfRule type="cellIs" priority="168" operator="lessThan" dxfId="126">
      <formula>1.5</formula>
    </cfRule>
  </conditionalFormatting>
  <conditionalFormatting sqref="C54:O54">
    <cfRule type="expression" priority="169" dxfId="131">
      <formula>=LEN(TRIM(C54))=0</formula>
    </cfRule>
    <cfRule type="cellIs" priority="170" operator="greaterThanOrEqual" dxfId="130">
      <formula>4.5</formula>
    </cfRule>
    <cfRule type="cellIs" priority="171" operator="greaterThanOrEqual" dxfId="129">
      <formula>3.5</formula>
    </cfRule>
    <cfRule type="cellIs" priority="172" operator="greaterThanOrEqual" dxfId="128">
      <formula>2.5</formula>
    </cfRule>
    <cfRule type="cellIs" priority="173" operator="greaterThanOrEqual" dxfId="127">
      <formula>1.5</formula>
    </cfRule>
    <cfRule type="cellIs" priority="174" operator="lessThan" dxfId="126">
      <formula>1.5</formula>
    </cfRule>
  </conditionalFormatting>
  <conditionalFormatting sqref="C55:O55">
    <cfRule type="expression" priority="175" dxfId="131">
      <formula>=LEN(TRIM(C55))=0</formula>
    </cfRule>
    <cfRule type="cellIs" priority="176" operator="greaterThanOrEqual" dxfId="130">
      <formula>4.5</formula>
    </cfRule>
    <cfRule type="cellIs" priority="177" operator="greaterThanOrEqual" dxfId="129">
      <formula>3.5</formula>
    </cfRule>
    <cfRule type="cellIs" priority="178" operator="greaterThanOrEqual" dxfId="128">
      <formula>2.5</formula>
    </cfRule>
    <cfRule type="cellIs" priority="179" operator="greaterThanOrEqual" dxfId="127">
      <formula>1.5</formula>
    </cfRule>
    <cfRule type="cellIs" priority="180" operator="lessThan" dxfId="126">
      <formula>1.5</formula>
    </cfRule>
  </conditionalFormatting>
  <conditionalFormatting sqref="C56:O56">
    <cfRule type="expression" priority="181" dxfId="131">
      <formula>=LEN(TRIM(C56))=0</formula>
    </cfRule>
    <cfRule type="cellIs" priority="182" operator="greaterThanOrEqual" dxfId="130">
      <formula>4.5</formula>
    </cfRule>
    <cfRule type="cellIs" priority="183" operator="greaterThanOrEqual" dxfId="129">
      <formula>3.5</formula>
    </cfRule>
    <cfRule type="cellIs" priority="184" operator="greaterThanOrEqual" dxfId="128">
      <formula>2.5</formula>
    </cfRule>
    <cfRule type="cellIs" priority="185" operator="greaterThanOrEqual" dxfId="127">
      <formula>1.5</formula>
    </cfRule>
    <cfRule type="cellIs" priority="186" operator="lessThan" dxfId="126">
      <formula>1.5</formula>
    </cfRule>
  </conditionalFormatting>
  <conditionalFormatting sqref="C57:O57">
    <cfRule type="expression" priority="187" dxfId="131">
      <formula>=LEN(TRIM(C57))=0</formula>
    </cfRule>
    <cfRule type="cellIs" priority="188" operator="greaterThanOrEqual" dxfId="130">
      <formula>4.5</formula>
    </cfRule>
    <cfRule type="cellIs" priority="189" operator="greaterThanOrEqual" dxfId="129">
      <formula>3.5</formula>
    </cfRule>
    <cfRule type="cellIs" priority="190" operator="greaterThanOrEqual" dxfId="128">
      <formula>2.5</formula>
    </cfRule>
    <cfRule type="cellIs" priority="191" operator="greaterThanOrEqual" dxfId="127">
      <formula>1.5</formula>
    </cfRule>
    <cfRule type="cellIs" priority="192" operator="lessThan" dxfId="126">
      <formula>1.5</formula>
    </cfRule>
  </conditionalFormatting>
  <conditionalFormatting sqref="C58:O58">
    <cfRule type="expression" priority="193" dxfId="131">
      <formula>=LEN(TRIM(C58))=0</formula>
    </cfRule>
    <cfRule type="cellIs" priority="194" operator="greaterThanOrEqual" dxfId="130">
      <formula>4.5</formula>
    </cfRule>
    <cfRule type="cellIs" priority="195" operator="greaterThanOrEqual" dxfId="129">
      <formula>3.5</formula>
    </cfRule>
    <cfRule type="cellIs" priority="196" operator="greaterThanOrEqual" dxfId="128">
      <formula>2.5</formula>
    </cfRule>
    <cfRule type="cellIs" priority="197" operator="greaterThanOrEqual" dxfId="127">
      <formula>1.5</formula>
    </cfRule>
    <cfRule type="cellIs" priority="198" operator="lessThan" dxfId="126">
      <formula>1.5</formula>
    </cfRule>
  </conditionalFormatting>
  <conditionalFormatting sqref="C59:O59">
    <cfRule type="expression" priority="199" dxfId="131">
      <formula>=LEN(TRIM(C59))=0</formula>
    </cfRule>
    <cfRule type="cellIs" priority="200" operator="greaterThanOrEqual" dxfId="130">
      <formula>4.5</formula>
    </cfRule>
    <cfRule type="cellIs" priority="201" operator="greaterThanOrEqual" dxfId="129">
      <formula>3.5</formula>
    </cfRule>
    <cfRule type="cellIs" priority="202" operator="greaterThanOrEqual" dxfId="128">
      <formula>2.5</formula>
    </cfRule>
    <cfRule type="cellIs" priority="203" operator="greaterThanOrEqual" dxfId="127">
      <formula>1.5</formula>
    </cfRule>
    <cfRule type="cellIs" priority="204" operator="lessThan" dxfId="126">
      <formula>1.5</formula>
    </cfRule>
  </conditionalFormatting>
  <conditionalFormatting sqref="C62:O62">
    <cfRule type="expression" priority="205" dxfId="131">
      <formula>=LEN(TRIM(C62))=0</formula>
    </cfRule>
    <cfRule type="cellIs" priority="206" operator="greaterThanOrEqual" dxfId="130">
      <formula>4.5</formula>
    </cfRule>
    <cfRule type="cellIs" priority="207" operator="greaterThanOrEqual" dxfId="129">
      <formula>3.5</formula>
    </cfRule>
    <cfRule type="cellIs" priority="208" operator="greaterThanOrEqual" dxfId="128">
      <formula>2.5</formula>
    </cfRule>
    <cfRule type="cellIs" priority="209" operator="greaterThanOrEqual" dxfId="127">
      <formula>1.5</formula>
    </cfRule>
    <cfRule type="cellIs" priority="210" operator="lessThan" dxfId="126">
      <formula>1.5</formula>
    </cfRule>
  </conditionalFormatting>
  <conditionalFormatting sqref="C63:O63">
    <cfRule type="expression" priority="211" dxfId="131">
      <formula>=LEN(TRIM(C63))=0</formula>
    </cfRule>
    <cfRule type="cellIs" priority="212" operator="greaterThanOrEqual" dxfId="130">
      <formula>4.5</formula>
    </cfRule>
    <cfRule type="cellIs" priority="213" operator="greaterThanOrEqual" dxfId="129">
      <formula>3.5</formula>
    </cfRule>
    <cfRule type="cellIs" priority="214" operator="greaterThanOrEqual" dxfId="128">
      <formula>2.5</formula>
    </cfRule>
    <cfRule type="cellIs" priority="215" operator="greaterThanOrEqual" dxfId="127">
      <formula>1.5</formula>
    </cfRule>
    <cfRule type="cellIs" priority="216" operator="lessThan" dxfId="126">
      <formula>1.5</formula>
    </cfRule>
  </conditionalFormatting>
  <conditionalFormatting sqref="C64:O64">
    <cfRule type="expression" priority="217" dxfId="131">
      <formula>=LEN(TRIM(C64))=0</formula>
    </cfRule>
    <cfRule type="cellIs" priority="218" operator="greaterThanOrEqual" dxfId="130">
      <formula>4.5</formula>
    </cfRule>
    <cfRule type="cellIs" priority="219" operator="greaterThanOrEqual" dxfId="129">
      <formula>3.5</formula>
    </cfRule>
    <cfRule type="cellIs" priority="220" operator="greaterThanOrEqual" dxfId="128">
      <formula>2.5</formula>
    </cfRule>
    <cfRule type="cellIs" priority="221" operator="greaterThanOrEqual" dxfId="127">
      <formula>1.5</formula>
    </cfRule>
    <cfRule type="cellIs" priority="222" operator="lessThan" dxfId="126">
      <formula>1.5</formula>
    </cfRule>
  </conditionalFormatting>
  <conditionalFormatting sqref="C65:O65">
    <cfRule type="expression" priority="223" dxfId="131">
      <formula>=LEN(TRIM(C65))=0</formula>
    </cfRule>
    <cfRule type="cellIs" priority="224" operator="greaterThanOrEqual" dxfId="130">
      <formula>4.5</formula>
    </cfRule>
    <cfRule type="cellIs" priority="225" operator="greaterThanOrEqual" dxfId="129">
      <formula>3.5</formula>
    </cfRule>
    <cfRule type="cellIs" priority="226" operator="greaterThanOrEqual" dxfId="128">
      <formula>2.5</formula>
    </cfRule>
    <cfRule type="cellIs" priority="227" operator="greaterThanOrEqual" dxfId="127">
      <formula>1.5</formula>
    </cfRule>
    <cfRule type="cellIs" priority="228" operator="lessThan" dxfId="126">
      <formula>1.5</formula>
    </cfRule>
  </conditionalFormatting>
  <conditionalFormatting sqref="C66:O66">
    <cfRule type="expression" priority="229" dxfId="131">
      <formula>=LEN(TRIM(C66))=0</formula>
    </cfRule>
    <cfRule type="cellIs" priority="230" operator="greaterThanOrEqual" dxfId="130">
      <formula>4.5</formula>
    </cfRule>
    <cfRule type="cellIs" priority="231" operator="greaterThanOrEqual" dxfId="129">
      <formula>3.5</formula>
    </cfRule>
    <cfRule type="cellIs" priority="232" operator="greaterThanOrEqual" dxfId="128">
      <formula>2.5</formula>
    </cfRule>
    <cfRule type="cellIs" priority="233" operator="greaterThanOrEqual" dxfId="127">
      <formula>1.5</formula>
    </cfRule>
    <cfRule type="cellIs" priority="234" operator="lessThan" dxfId="126">
      <formula>1.5</formula>
    </cfRule>
  </conditionalFormatting>
  <conditionalFormatting sqref="C67:O67">
    <cfRule type="expression" priority="235" dxfId="131">
      <formula>=LEN(TRIM(C67))=0</formula>
    </cfRule>
    <cfRule type="cellIs" priority="236" operator="greaterThanOrEqual" dxfId="130">
      <formula>4.5</formula>
    </cfRule>
    <cfRule type="cellIs" priority="237" operator="greaterThanOrEqual" dxfId="129">
      <formula>3.5</formula>
    </cfRule>
    <cfRule type="cellIs" priority="238" operator="greaterThanOrEqual" dxfId="128">
      <formula>2.5</formula>
    </cfRule>
    <cfRule type="cellIs" priority="239" operator="greaterThanOrEqual" dxfId="127">
      <formula>1.5</formula>
    </cfRule>
    <cfRule type="cellIs" priority="240" operator="lessThan" dxfId="126">
      <formula>1.5</formula>
    </cfRule>
  </conditionalFormatting>
  <conditionalFormatting sqref="C68:O68">
    <cfRule type="expression" priority="241" dxfId="131">
      <formula>=LEN(TRIM(C68))=0</formula>
    </cfRule>
    <cfRule type="cellIs" priority="242" operator="greaterThanOrEqual" dxfId="130">
      <formula>4.5</formula>
    </cfRule>
    <cfRule type="cellIs" priority="243" operator="greaterThanOrEqual" dxfId="129">
      <formula>3.5</formula>
    </cfRule>
    <cfRule type="cellIs" priority="244" operator="greaterThanOrEqual" dxfId="128">
      <formula>2.5</formula>
    </cfRule>
    <cfRule type="cellIs" priority="245" operator="greaterThanOrEqual" dxfId="127">
      <formula>1.5</formula>
    </cfRule>
    <cfRule type="cellIs" priority="246" operator="lessThan" dxfId="126">
      <formula>1.5</formula>
    </cfRule>
  </conditionalFormatting>
  <conditionalFormatting sqref="C69:O69">
    <cfRule type="expression" priority="247" dxfId="131">
      <formula>=LEN(TRIM(C69))=0</formula>
    </cfRule>
    <cfRule type="cellIs" priority="248" operator="greaterThanOrEqual" dxfId="130">
      <formula>4.5</formula>
    </cfRule>
    <cfRule type="cellIs" priority="249" operator="greaterThanOrEqual" dxfId="129">
      <formula>3.5</formula>
    </cfRule>
    <cfRule type="cellIs" priority="250" operator="greaterThanOrEqual" dxfId="128">
      <formula>2.5</formula>
    </cfRule>
    <cfRule type="cellIs" priority="251" operator="greaterThanOrEqual" dxfId="127">
      <formula>1.5</formula>
    </cfRule>
    <cfRule type="cellIs" priority="252" operator="lessThan" dxfId="126">
      <formula>1.5</formula>
    </cfRule>
  </conditionalFormatting>
  <conditionalFormatting sqref="C70:O70">
    <cfRule type="expression" priority="253" dxfId="131">
      <formula>=LEN(TRIM(C70))=0</formula>
    </cfRule>
    <cfRule type="cellIs" priority="254" operator="greaterThanOrEqual" dxfId="130">
      <formula>4.5</formula>
    </cfRule>
    <cfRule type="cellIs" priority="255" operator="greaterThanOrEqual" dxfId="129">
      <formula>3.5</formula>
    </cfRule>
    <cfRule type="cellIs" priority="256" operator="greaterThanOrEqual" dxfId="128">
      <formula>2.5</formula>
    </cfRule>
    <cfRule type="cellIs" priority="257" operator="greaterThanOrEqual" dxfId="127">
      <formula>1.5</formula>
    </cfRule>
    <cfRule type="cellIs" priority="258" operator="lessThan" dxfId="126">
      <formula>1.5</formula>
    </cfRule>
  </conditionalFormatting>
  <conditionalFormatting sqref="C71:O71">
    <cfRule type="expression" priority="259" dxfId="131">
      <formula>=LEN(TRIM(C71))=0</formula>
    </cfRule>
    <cfRule type="cellIs" priority="260" operator="greaterThanOrEqual" dxfId="130">
      <formula>4.5</formula>
    </cfRule>
    <cfRule type="cellIs" priority="261" operator="greaterThanOrEqual" dxfId="129">
      <formula>3.5</formula>
    </cfRule>
    <cfRule type="cellIs" priority="262" operator="greaterThanOrEqual" dxfId="128">
      <formula>2.5</formula>
    </cfRule>
    <cfRule type="cellIs" priority="263" operator="greaterThanOrEqual" dxfId="127">
      <formula>1.5</formula>
    </cfRule>
    <cfRule type="cellIs" priority="264" operator="lessThan" dxfId="126">
      <formula>1.5</formula>
    </cfRule>
  </conditionalFormatting>
  <conditionalFormatting sqref="C7:O7">
    <cfRule type="expression" priority="265" dxfId="131">
      <formula>=LEN(TRIM(C7))=0</formula>
    </cfRule>
    <cfRule type="cellIs" priority="266" operator="greaterThan" dxfId="130">
      <formula>5.4</formula>
    </cfRule>
    <cfRule type="cellIs" priority="267" operator="greaterThanOrEqual" dxfId="129">
      <formula>5.0</formula>
    </cfRule>
    <cfRule type="cellIs" priority="268" operator="lessThan" dxfId="126">
      <formula>5.0</formula>
    </cfRule>
  </conditionalFormatting>
  <conditionalFormatting sqref="C8:O8">
    <cfRule type="expression" priority="269" dxfId="131">
      <formula>=LEN(TRIM(C8))=0</formula>
    </cfRule>
    <cfRule type="cellIs" priority="270" operator="lessThan" dxfId="130">
      <formula>0.025</formula>
    </cfRule>
    <cfRule type="cellIs" priority="271" operator="lessThan" dxfId="129">
      <formula>0.04</formula>
    </cfRule>
    <cfRule type="cellIs" priority="272" operator="greaterThanOrEqual" dxfId="126">
      <formula>0.04</formula>
    </cfRule>
  </conditionalFormatting>
  <conditionalFormatting sqref="C9:O9">
    <cfRule type="expression" priority="273" dxfId="131">
      <formula>=LEN(TRIM(C9))=0</formula>
    </cfRule>
    <cfRule type="cellIs" priority="274" operator="greaterThanOrEqual" dxfId="130">
      <formula>4.5</formula>
    </cfRule>
    <cfRule type="cellIs" priority="275" operator="greaterThanOrEqual" dxfId="129">
      <formula>3.5</formula>
    </cfRule>
    <cfRule type="cellIs" priority="276" operator="greaterThanOrEqual" dxfId="128">
      <formula>2.5</formula>
    </cfRule>
    <cfRule type="cellIs" priority="277" operator="greaterThanOrEqual" dxfId="127">
      <formula>1.5</formula>
    </cfRule>
    <cfRule type="cellIs" priority="278" operator="lessThan" dxfId="126">
      <formula>1.5</formula>
    </cfRule>
  </conditionalFormatting>
  <conditionalFormatting sqref="C10:O10">
    <cfRule type="expression" priority="279" dxfId="131">
      <formula>=LEN(TRIM(C10))=0</formula>
    </cfRule>
    <cfRule type="cellIs" priority="280" operator="greaterThanOrEqual" dxfId="130">
      <formula>4.5</formula>
    </cfRule>
    <cfRule type="cellIs" priority="281" operator="greaterThanOrEqual" dxfId="129">
      <formula>3.5</formula>
    </cfRule>
    <cfRule type="cellIs" priority="282" operator="greaterThanOrEqual" dxfId="128">
      <formula>2.5</formula>
    </cfRule>
    <cfRule type="cellIs" priority="283" operator="greaterThanOrEqual" dxfId="127">
      <formula>1.5</formula>
    </cfRule>
    <cfRule type="cellIs" priority="284" operator="lessThan" dxfId="126">
      <formula>1.5</formula>
    </cfRule>
  </conditionalFormatting>
  <conditionalFormatting sqref="C11:O11">
    <cfRule type="expression" priority="285" dxfId="131">
      <formula>=LEN(TRIM(C11))=0</formula>
    </cfRule>
    <cfRule type="cellIs" priority="286" operator="greaterThanOrEqual" dxfId="130">
      <formula>4.5</formula>
    </cfRule>
    <cfRule type="cellIs" priority="287" operator="greaterThanOrEqual" dxfId="129">
      <formula>3.5</formula>
    </cfRule>
    <cfRule type="cellIs" priority="288" operator="greaterThanOrEqual" dxfId="128">
      <formula>2.5</formula>
    </cfRule>
    <cfRule type="cellIs" priority="289" operator="greaterThanOrEqual" dxfId="127">
      <formula>1.5</formula>
    </cfRule>
    <cfRule type="cellIs" priority="290" operator="lessThan" dxfId="126">
      <formula>1.5</formula>
    </cfRule>
  </conditionalFormatting>
  <dataValidations count="2">
    <dataValidation sqref="G50:N59 G62:N71" showDropDown="0" showInputMessage="1" showErrorMessage="1" allowBlank="1" type="list">
      <formula1>$Y$2:$Y$7</formula1>
    </dataValidation>
    <dataValidation sqref="G26:N35" showDropDown="0" showInputMessage="1" showErrorMessage="1" allowBlank="1"/>
  </dataValidations>
  <pageMargins left="0.7" right="0.7" top="0.75" bottom="0.75" header="0.3" footer="0.3"/>
  <pageSetup orientation="portrait"/>
  <legacyDrawing xmlns:r="http://schemas.openxmlformats.org/officeDocument/2006/relationships" r:id="anysvml"/>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4.xml><?xml version="1.0" encoding="utf-8"?>
<worksheet xmlns="http://schemas.openxmlformats.org/spreadsheetml/2006/main">
  <sheetPr>
    <outlinePr summaryBelow="1" summaryRight="1"/>
    <pageSetUpPr/>
  </sheetPr>
  <dimension ref="B2:AF74"/>
  <sheetViews>
    <sheetView tabSelected="1" topLeftCell="A34" zoomScaleNormal="115" workbookViewId="0">
      <selection activeCell="N71" sqref="C62:N71"/>
    </sheetView>
  </sheetViews>
  <sheetFormatPr baseColWidth="8" defaultColWidth="8.85546875" defaultRowHeight="15" customHeight="1"/>
  <cols>
    <col width="2.85546875" customWidth="1" style="1" min="1" max="1"/>
    <col width="55.7109375" customWidth="1" style="1" min="2" max="2"/>
    <col width="9.7109375" customWidth="1" style="1" min="3" max="14"/>
    <col width="13.28515625" customWidth="1" style="1" min="15" max="15"/>
    <col width="13.7109375" customWidth="1" style="1" min="16" max="16"/>
    <col width="16.140625" customWidth="1" style="1" min="17" max="17"/>
    <col width="14.28515625" customWidth="1" style="1" min="18" max="18"/>
    <col width="13.28515625" customWidth="1" style="1" min="19" max="19"/>
    <col width="8.85546875" customWidth="1" style="1" min="20" max="71"/>
    <col width="8.85546875" customWidth="1" style="1" min="72" max="16384"/>
  </cols>
  <sheetData>
    <row r="2" ht="14.45" customHeight="1">
      <c r="B2" s="194" t="inlineStr">
        <is>
          <t>Team Leader</t>
        </is>
      </c>
      <c r="C2" s="197" t="inlineStr">
        <is>
          <t>Josephine Lee</t>
        </is>
      </c>
      <c r="D2" s="224" t="n"/>
      <c r="E2" s="220" t="n"/>
      <c r="F2" s="220" t="n"/>
      <c r="G2" s="220" t="n"/>
      <c r="H2" s="220" t="n"/>
      <c r="I2" s="220" t="n"/>
      <c r="J2" s="220" t="n"/>
      <c r="K2" s="220" t="n"/>
      <c r="L2" s="220" t="n"/>
      <c r="M2" s="220" t="n"/>
      <c r="N2" s="220" t="n"/>
      <c r="O2" s="220" t="n"/>
      <c r="P2" s="220" t="n"/>
      <c r="Q2" s="220" t="n"/>
      <c r="R2" s="220" t="n"/>
      <c r="S2" s="220" t="n"/>
      <c r="T2" s="220" t="n"/>
      <c r="U2" s="220" t="n"/>
      <c r="V2" s="220" t="n"/>
      <c r="W2" s="220" t="n"/>
      <c r="X2" s="220" t="n"/>
      <c r="Y2" s="93" t="n">
        <v>5</v>
      </c>
      <c r="Z2" s="93" t="n"/>
      <c r="AA2" s="220" t="n"/>
      <c r="AB2" s="220" t="n"/>
      <c r="AC2" s="220" t="n"/>
      <c r="AD2" s="220" t="n"/>
      <c r="AE2" s="220" t="n"/>
      <c r="AF2" s="220" t="n"/>
    </row>
    <row r="3" ht="14.45" customHeight="1">
      <c r="B3" s="225" t="n"/>
      <c r="D3" s="226" t="n"/>
      <c r="E3" s="220" t="n"/>
      <c r="F3" s="220" t="n"/>
      <c r="G3" s="220" t="n"/>
      <c r="H3" s="220" t="n"/>
      <c r="I3" s="220" t="n"/>
      <c r="J3" s="220" t="n"/>
      <c r="K3" s="220" t="n"/>
      <c r="L3" s="220" t="n"/>
      <c r="M3" s="220" t="n"/>
      <c r="N3" s="220" t="n"/>
      <c r="O3" s="220" t="n"/>
      <c r="P3" s="220" t="n"/>
      <c r="Q3" s="220" t="n"/>
      <c r="R3" s="220" t="n"/>
      <c r="S3" s="220" t="n"/>
      <c r="T3" s="220" t="n"/>
      <c r="U3" s="220" t="n"/>
      <c r="V3" s="220" t="n"/>
      <c r="W3" s="220" t="n"/>
      <c r="X3" s="220" t="n"/>
      <c r="Y3" s="93" t="n">
        <v>4</v>
      </c>
      <c r="Z3" s="93" t="n"/>
      <c r="AA3" s="220" t="n"/>
      <c r="AB3" s="220" t="n"/>
      <c r="AC3" s="220" t="n"/>
      <c r="AD3" s="220" t="n"/>
      <c r="AE3" s="220" t="n"/>
      <c r="AF3" s="220" t="n"/>
    </row>
    <row r="4">
      <c r="B4" s="227" t="n"/>
      <c r="C4" s="228" t="n"/>
      <c r="D4" s="229" t="n"/>
      <c r="E4" s="220" t="n"/>
      <c r="F4" s="220" t="n"/>
      <c r="G4" s="220" t="n"/>
      <c r="H4" s="220" t="n"/>
      <c r="I4" s="220" t="n"/>
      <c r="J4" s="220" t="n"/>
      <c r="K4" s="220" t="n"/>
      <c r="L4" s="220" t="n"/>
      <c r="M4" s="220" t="n"/>
      <c r="N4" s="220" t="n"/>
      <c r="O4" s="220" t="n"/>
      <c r="P4" s="220" t="n"/>
      <c r="Q4" s="220" t="n"/>
      <c r="R4" s="220" t="n"/>
      <c r="S4" s="220" t="n"/>
      <c r="T4" s="220" t="n"/>
      <c r="U4" s="220" t="n"/>
      <c r="V4" s="220" t="n"/>
      <c r="W4" s="220" t="n"/>
      <c r="X4" s="220" t="n"/>
      <c r="Y4" s="93" t="n">
        <v>3</v>
      </c>
      <c r="Z4" s="93" t="n"/>
      <c r="AA4" s="220" t="n"/>
      <c r="AB4" s="220" t="n"/>
      <c r="AC4" s="220" t="n"/>
      <c r="AD4" s="220" t="n"/>
      <c r="AE4" s="220" t="n"/>
      <c r="AF4" s="220" t="n"/>
    </row>
    <row r="5">
      <c r="B5" s="220" t="n"/>
      <c r="C5" s="220" t="n"/>
      <c r="D5" s="220" t="n"/>
      <c r="E5" s="220" t="n"/>
      <c r="F5" s="94" t="n"/>
      <c r="G5" s="94" t="n"/>
      <c r="H5" s="94" t="n"/>
      <c r="I5" s="94" t="n"/>
      <c r="J5" s="94" t="n"/>
      <c r="K5" s="220" t="n"/>
      <c r="L5" s="220" t="n"/>
      <c r="M5" s="220" t="n"/>
      <c r="N5" s="220" t="n"/>
      <c r="O5" s="220" t="n"/>
      <c r="P5" s="220" t="n"/>
      <c r="Q5" s="220" t="n"/>
      <c r="R5" s="220" t="n"/>
      <c r="S5" s="220" t="n"/>
      <c r="T5" s="220" t="n"/>
      <c r="U5" s="220" t="n"/>
      <c r="V5" s="220" t="n"/>
      <c r="W5" s="220" t="n"/>
      <c r="X5" s="220" t="n"/>
      <c r="Y5" s="93" t="n">
        <v>2</v>
      </c>
      <c r="Z5" s="93" t="n"/>
      <c r="AA5" s="220" t="n"/>
      <c r="AB5" s="220" t="n"/>
      <c r="AC5" s="220" t="n"/>
      <c r="AD5" s="220" t="n"/>
      <c r="AE5" s="220" t="n"/>
      <c r="AF5" s="220" t="n"/>
    </row>
    <row r="6" ht="14.45" customHeight="1">
      <c r="B6" s="3" t="inlineStr">
        <is>
          <t>Team Average</t>
        </is>
      </c>
      <c r="C6" s="133" t="inlineStr">
        <is>
          <t>Jan</t>
        </is>
      </c>
      <c r="D6" s="133" t="inlineStr">
        <is>
          <t>Feb</t>
        </is>
      </c>
      <c r="E6" s="133" t="inlineStr">
        <is>
          <t>Mar</t>
        </is>
      </c>
      <c r="F6" s="133" t="inlineStr">
        <is>
          <t>Apr</t>
        </is>
      </c>
      <c r="G6" s="133" t="inlineStr">
        <is>
          <t>May</t>
        </is>
      </c>
      <c r="H6" s="133" t="inlineStr">
        <is>
          <t>June</t>
        </is>
      </c>
      <c r="I6" s="133" t="inlineStr">
        <is>
          <t>July</t>
        </is>
      </c>
      <c r="J6" s="133" t="inlineStr">
        <is>
          <t>Aug</t>
        </is>
      </c>
      <c r="K6" s="133" t="inlineStr">
        <is>
          <t>Sept</t>
        </is>
      </c>
      <c r="L6" s="133" t="inlineStr">
        <is>
          <t>Oct</t>
        </is>
      </c>
      <c r="M6" s="133" t="inlineStr">
        <is>
          <t>Nov</t>
        </is>
      </c>
      <c r="N6" s="133" t="inlineStr">
        <is>
          <t>Dec</t>
        </is>
      </c>
      <c r="O6" s="134" t="inlineStr">
        <is>
          <t>Average</t>
        </is>
      </c>
      <c r="P6" s="220" t="n"/>
      <c r="Q6" s="199" t="inlineStr">
        <is>
          <t>TEAM KPI'S</t>
        </is>
      </c>
      <c r="R6" s="230" t="n"/>
      <c r="S6" s="230" t="n"/>
      <c r="T6" s="230" t="n"/>
      <c r="U6" s="230" t="n"/>
      <c r="V6" s="230" t="n"/>
      <c r="W6" s="224" t="n"/>
      <c r="X6" s="91" t="n"/>
      <c r="Y6" s="118" t="n">
        <v>1</v>
      </c>
      <c r="Z6" s="91" t="n"/>
      <c r="AA6" s="91" t="n"/>
      <c r="AB6" s="220" t="n"/>
      <c r="AC6" s="93" t="n"/>
      <c r="AD6" s="93" t="n"/>
      <c r="AE6" s="220" t="n"/>
      <c r="AF6" s="220" t="n"/>
    </row>
    <row r="7" ht="14.45" customHeight="1">
      <c r="B7" s="2" t="inlineStr">
        <is>
          <t>Billings</t>
        </is>
      </c>
      <c r="C7" s="131">
        <f>IF(SUMIFS(FTETable[Jan], FTETable[Team], "OT")=0, "",
    SUMIFS(FTETable[Jan], FTETable[Team], "OT") /
    SUMIFS(FTETable[FTE], FTETable[Team], "OT", FTETable[Jan], "&gt;0"))</f>
        <v/>
      </c>
      <c r="D7" s="131">
        <f>IF(SUMIFS(FTETable[Feb], FTETable[Team], "OT")=0, "",
    SUMIFS(FTETable[Feb], FTETable[Team], "OT") /
    SUMIFS(FTETable[FTE], FTETable[Team], "OT", FTETable[Feb], "&gt;0"))</f>
        <v/>
      </c>
      <c r="E7" s="131">
        <f>IF(SUMIFS(FTETable[Mar], FTETable[Team], "OT")=0, "",
    SUMIFS(FTETable[Mar], FTETable[Team], "OT") /
    SUMIFS(FTETable[FTE], FTETable[Team], "OT", FTETable[Mar], "&gt;0"))</f>
        <v/>
      </c>
      <c r="F7" s="131">
        <f>IF(SUMIFS(FTETable[Apr], FTETable[Team], "OT")=0, "",
    SUMIFS(FTETable[Apr], FTETable[Team], "OT") /
    SUMIFS(FTETable[FTE], FTETable[Team], "OT", FTETable[Apr], "&gt;0"))</f>
        <v/>
      </c>
      <c r="G7" s="6">
        <f>IF(SUMIFS(FTETable[May], FTETable[Team], "OT")=0, "",
    SUMIFS(FTETable[May], FTETable[Team], "OT") /
    SUMIFS(FTETable[FTE], FTETable[Team], "OT", FTETable[May], "&gt;0"))</f>
        <v/>
      </c>
      <c r="H7" s="6">
        <f>IF(SUMIFS(FTETable[June], FTETable[Team], "OT")=0, "",
    SUMIFS(FTETable[June], FTETable[Team], "OT") /
    SUMIFS(FTETable[FTE], FTETable[Team], "OT", FTETable[June], "&gt;0"))</f>
        <v/>
      </c>
      <c r="I7" s="6">
        <f>IF(SUMIFS(FTETable[July], FTETable[Team], "OT")=0, "",
    SUMIFS(FTETable[July], FTETable[Team], "OT") /
    SUMIFS(FTETable[FTE], FTETable[Team], "OT", FTETable[July], "&gt;0"))</f>
        <v/>
      </c>
      <c r="J7" s="6">
        <f>IF(SUMIFS(FTETable[Aug], FTETable[Team], "OT")=0, "",
    SUMIFS(FTETable[Aug], FTETable[Team], "OT") /
    SUMIFS(FTETable[FTE], FTETable[Team], "OT", FTETable[Aug], "&gt;0"))</f>
        <v/>
      </c>
      <c r="K7" s="6">
        <f>IF(SUMIFS(FTETable[Sept], FTETable[Team], "OT")=0, "",
    SUMIFS(FTETable[Sept], FTETable[Team], "OT") /
    SUMIFS(FTETable[FTE], FTETable[Team], "OT", FTETable[Sept], "&gt;0"))</f>
        <v/>
      </c>
      <c r="L7" s="6">
        <f>IF(SUMIFS(FTETable[Oct], FTETable[Team], "OT")=0, "",
    SUMIFS(FTETable[Oct], FTETable[Team], "OT") /
    SUMIFS(FTETable[FTE], FTETable[Team], "OT", FTETable[Oct], "&gt;0"))</f>
        <v/>
      </c>
      <c r="M7" s="6">
        <f>IF(SUMIFS(FTETable[Nov], FTETable[Team], "OT")=0, "",
    SUMIFS(FTETable[Nov], FTETable[Team], "OT") /
    SUMIFS(FTETable[FTE], FTETable[Team], "OT", FTETable[Nov], "&gt;0"))</f>
        <v/>
      </c>
      <c r="N7" s="6">
        <f>IF(SUMIFS(FTETable[Dec], FTETable[Team], "OT")=0, "",
    SUMIFS(FTETable[Dec], FTETable[Team], "OT") /
    SUMIFS(FTETable[FTE], FTETable[Team], "OT", FTETable[Dec], "&gt;0"))</f>
        <v/>
      </c>
      <c r="O7" s="6">
        <f>IFERROR(AVERAGEIF(C7:N7, "&gt;0"),"")</f>
        <v/>
      </c>
      <c r="P7" s="220" t="n"/>
      <c r="Q7" s="187" t="inlineStr">
        <is>
          <t>Team Billings</t>
        </is>
      </c>
      <c r="R7" s="231" t="n"/>
      <c r="S7" s="176" t="inlineStr">
        <is>
          <t>Below</t>
        </is>
      </c>
      <c r="T7" s="176" t="inlineStr">
        <is>
          <t>Good</t>
        </is>
      </c>
      <c r="U7" s="10" t="inlineStr">
        <is>
          <t>Excellent</t>
        </is>
      </c>
      <c r="V7" s="17" t="n"/>
      <c r="W7" s="17" t="n"/>
      <c r="X7" s="91" t="n"/>
      <c r="Y7" s="91" t="n"/>
      <c r="Z7" s="91" t="n"/>
      <c r="AA7" s="91" t="n"/>
      <c r="AB7" s="220" t="n"/>
      <c r="AC7" s="93" t="n"/>
      <c r="AD7" s="93" t="n"/>
      <c r="AE7" s="220" t="n"/>
      <c r="AF7" s="220" t="n"/>
    </row>
    <row r="8" ht="14.45" customHeight="1">
      <c r="B8" s="2" t="inlineStr">
        <is>
          <t>Operational Efficiency, Compliance &amp; Admin Responsiveness</t>
        </is>
      </c>
      <c r="C8" s="5">
        <f>IFERROR(AVERAGE(Compliance_OT[Jan]),"")</f>
        <v/>
      </c>
      <c r="D8" s="5">
        <f>IFERROR(AVERAGE(Compliance_OT[Feb]),"")</f>
        <v/>
      </c>
      <c r="E8" s="5">
        <f>IFERROR(AVERAGE(Compliance_OT[Mar]),"")</f>
        <v/>
      </c>
      <c r="F8" s="5">
        <f>IFERROR(AVERAGE(Compliance_OT[Apr]),"")</f>
        <v/>
      </c>
      <c r="G8" s="5">
        <f>IFERROR(AVERAGE(Compliance_OT[May]),"")</f>
        <v/>
      </c>
      <c r="H8" s="5">
        <f>IFERROR(AVERAGE(Compliance_OT[June]),"")</f>
        <v/>
      </c>
      <c r="I8" s="5">
        <f>IFERROR(AVERAGE(Compliance_OT[July]),"")</f>
        <v/>
      </c>
      <c r="J8" s="5">
        <f>IFERROR(AVERAGE(Compliance_OT[Aug]),"")</f>
        <v/>
      </c>
      <c r="K8" s="5">
        <f>IFERROR(AVERAGE(Compliance_OT[Sept]),"")</f>
        <v/>
      </c>
      <c r="L8" s="5">
        <f>IFERROR(AVERAGE(Compliance_OT[Oct]),"")</f>
        <v/>
      </c>
      <c r="M8" s="5">
        <f>IFERROR(AVERAGE(Compliance_OT[Nov]),"")</f>
        <v/>
      </c>
      <c r="N8" s="5">
        <f>IFERROR(AVERAGE(Compliance_OT[Dec]),"")</f>
        <v/>
      </c>
      <c r="O8" s="5">
        <f>IFERROR(AVERAGEIF(C8:N8, "&gt;0"),"")</f>
        <v/>
      </c>
      <c r="P8" s="220" t="n"/>
      <c r="Q8" s="232" t="n"/>
      <c r="R8" s="233" t="n"/>
      <c r="S8" s="22" t="inlineStr">
        <is>
          <t>&lt;4.3</t>
        </is>
      </c>
      <c r="T8" s="24" t="inlineStr">
        <is>
          <t>4.3-4.9</t>
        </is>
      </c>
      <c r="U8" s="43" t="inlineStr">
        <is>
          <t>&gt;4.9</t>
        </is>
      </c>
      <c r="V8" s="17" t="n"/>
      <c r="W8" s="17" t="n"/>
      <c r="X8" s="91" t="n"/>
      <c r="Y8" s="91" t="n"/>
      <c r="Z8" s="91" t="n"/>
      <c r="AA8" s="91" t="n"/>
      <c r="AB8" s="220" t="n"/>
      <c r="AC8" s="220" t="n"/>
      <c r="AD8" s="220" t="n"/>
      <c r="AE8" s="220" t="n"/>
      <c r="AF8" s="220" t="n"/>
    </row>
    <row r="9" ht="14.45" customHeight="1">
      <c r="B9" s="2" t="inlineStr">
        <is>
          <t>Client &amp; Referrer Satisfaction</t>
        </is>
      </c>
      <c r="C9" s="5">
        <f>IFERROR(AVERAGE(ReferrerEng_OT[Jan]),"")</f>
        <v/>
      </c>
      <c r="D9" s="5">
        <f>IFERROR(AVERAGE(ReferrerEng_OT[Feb]),"")</f>
        <v/>
      </c>
      <c r="E9" s="5">
        <f>IFERROR(AVERAGE(ReferrerEng_OT[Mar]),"")</f>
        <v/>
      </c>
      <c r="F9" s="5">
        <f>IFERROR(AVERAGE(ReferrerEng_OT[Apr]),"")</f>
        <v/>
      </c>
      <c r="G9" s="5">
        <f>IFERROR(AVERAGE(ReferrerEng_OT[May]),"")</f>
        <v/>
      </c>
      <c r="H9" s="5">
        <f>IFERROR(AVERAGE(ReferrerEng_OT[June]),"")</f>
        <v/>
      </c>
      <c r="I9" s="5">
        <f>IFERROR(AVERAGE(ReferrerEng_OT[July]),"")</f>
        <v/>
      </c>
      <c r="J9" s="5">
        <f>IFERROR(AVERAGE(ReferrerEng_OT[Aug]),"")</f>
        <v/>
      </c>
      <c r="K9" s="5">
        <f>IFERROR(AVERAGE(ReferrerEng_OT[Sept]),"")</f>
        <v/>
      </c>
      <c r="L9" s="5">
        <f>IFERROR(AVERAGE(ReferrerEng_OT[Oct]),"")</f>
        <v/>
      </c>
      <c r="M9" s="5">
        <f>IFERROR(AVERAGE(ReferrerEng_OT[Nov]),"")</f>
        <v/>
      </c>
      <c r="N9" s="5">
        <f>IFERROR(AVERAGE(ReferrerEng_OT[Dec]),"")</f>
        <v/>
      </c>
      <c r="O9" s="5">
        <f>IFERROR(AVERAGEIF(C9:N9, "&gt;0"),"")</f>
        <v/>
      </c>
      <c r="P9" s="220" t="n"/>
      <c r="Q9" s="179" t="inlineStr">
        <is>
          <t xml:space="preserve">Other KPI's </t>
        </is>
      </c>
      <c r="R9" s="231" t="n"/>
      <c r="S9" s="176" t="inlineStr">
        <is>
          <t>Unsatisfactory</t>
        </is>
      </c>
      <c r="T9" s="176" t="inlineStr">
        <is>
          <t>Needs improvement</t>
        </is>
      </c>
      <c r="U9" s="176" t="inlineStr">
        <is>
          <t>In progress</t>
        </is>
      </c>
      <c r="V9" s="18" t="inlineStr">
        <is>
          <t>Very Good</t>
        </is>
      </c>
      <c r="W9" s="19" t="inlineStr">
        <is>
          <t>Excellent</t>
        </is>
      </c>
      <c r="X9" s="91" t="n"/>
      <c r="Y9" s="91" t="n"/>
      <c r="Z9" s="91" t="n"/>
      <c r="AA9" s="91" t="n"/>
      <c r="AB9" s="220" t="n"/>
      <c r="AC9" s="220" t="n"/>
      <c r="AD9" s="220" t="n"/>
      <c r="AE9" s="220" t="n"/>
      <c r="AF9" s="220" t="n"/>
    </row>
    <row r="10" ht="14.45" customHeight="1">
      <c r="B10" s="2" t="inlineStr">
        <is>
          <t>Capacity Building &amp; Use of NDIS Funding</t>
        </is>
      </c>
      <c r="C10" s="5">
        <f>IFERROR(AVERAGE(Capacity_OT[Jan]),"")</f>
        <v/>
      </c>
      <c r="D10" s="5">
        <f>IFERROR(AVERAGE(Capacity_OT[Feb]),"")</f>
        <v/>
      </c>
      <c r="E10" s="5">
        <f>IFERROR(AVERAGE(Capacity_OT[Mar]),"")</f>
        <v/>
      </c>
      <c r="F10" s="5">
        <f>IFERROR(AVERAGE(Capacity_OT[Apr]),"")</f>
        <v/>
      </c>
      <c r="G10" s="5">
        <f>IFERROR(AVERAGE(Capacity_OT[May]),"")</f>
        <v/>
      </c>
      <c r="H10" s="5">
        <f>IFERROR(AVERAGE(Capacity_OT[June]),"")</f>
        <v/>
      </c>
      <c r="I10" s="5">
        <f>IFERROR(AVERAGE(Capacity_OT[July]),"")</f>
        <v/>
      </c>
      <c r="J10" s="5">
        <f>IFERROR(AVERAGE(Capacity_OT[Aug]),"")</f>
        <v/>
      </c>
      <c r="K10" s="5">
        <f>IFERROR(AVERAGE(Capacity_OT[Sept]),"")</f>
        <v/>
      </c>
      <c r="L10" s="5">
        <f>IFERROR(AVERAGE(Capacity_OT[Oct]),"")</f>
        <v/>
      </c>
      <c r="M10" s="5">
        <f>IFERROR(AVERAGE(Capacity_OT[Nov]),"")</f>
        <v/>
      </c>
      <c r="N10" s="5">
        <f>IFERROR(AVERAGE(Capacity_OT[Dec]),"")</f>
        <v/>
      </c>
      <c r="O10" s="5">
        <f>IFERROR(AVERAGEIF(C10:N10, "&gt;0"),"")</f>
        <v/>
      </c>
      <c r="P10" s="220" t="n"/>
      <c r="Q10" s="234" t="n"/>
      <c r="R10" s="235" t="n"/>
      <c r="S10" s="21" t="inlineStr">
        <is>
          <t>&lt;1.5</t>
        </is>
      </c>
      <c r="T10" s="23" t="inlineStr">
        <is>
          <t>1.5-2.5</t>
        </is>
      </c>
      <c r="U10" s="28" t="inlineStr">
        <is>
          <t>2.5-3.5</t>
        </is>
      </c>
      <c r="V10" s="25" t="inlineStr">
        <is>
          <t>3.5-4.5</t>
        </is>
      </c>
      <c r="W10" s="27" t="inlineStr">
        <is>
          <t>4.5-5</t>
        </is>
      </c>
      <c r="X10" s="91" t="n"/>
      <c r="Y10" s="91" t="n"/>
      <c r="Z10" s="91" t="n"/>
      <c r="AA10" s="91" t="n"/>
      <c r="AB10" s="220" t="n"/>
      <c r="AC10" s="220" t="n"/>
      <c r="AD10" s="220" t="n"/>
      <c r="AE10" s="220" t="n"/>
      <c r="AF10" s="220" t="n"/>
    </row>
    <row r="11" ht="14.45" customHeight="1">
      <c r="B11" s="4" t="inlineStr">
        <is>
          <t>Team Contribution, Attitude &amp; Clinical Growth</t>
        </is>
      </c>
      <c r="C11" s="39">
        <f>IFERROR(AVERAGE(Attitude_OT[Jan]),"")</f>
        <v/>
      </c>
      <c r="D11" s="39">
        <f>IFERROR(AVERAGE(Attitude_OT[Feb]),"")</f>
        <v/>
      </c>
      <c r="E11" s="39">
        <f>IFERROR(AVERAGE(Attitude_OT[Mar]),"")</f>
        <v/>
      </c>
      <c r="F11" s="39">
        <f>IFERROR(AVERAGE(Attitude_OT[Apr]),"")</f>
        <v/>
      </c>
      <c r="G11" s="39">
        <f>IFERROR(AVERAGE(Attitude_OT[May]),"")</f>
        <v/>
      </c>
      <c r="H11" s="39">
        <f>IFERROR(AVERAGE(Attitude_OT[June]),"")</f>
        <v/>
      </c>
      <c r="I11" s="39">
        <f>IFERROR(AVERAGE(Attitude_OT[July]),"")</f>
        <v/>
      </c>
      <c r="J11" s="39">
        <f>IFERROR(AVERAGE(Attitude_OT[Aug]),"")</f>
        <v/>
      </c>
      <c r="K11" s="39">
        <f>IFERROR(AVERAGE(Attitude_OT[Sept]),"")</f>
        <v/>
      </c>
      <c r="L11" s="39">
        <f>IFERROR(AVERAGE(Attitude_OT[Oct]),"")</f>
        <v/>
      </c>
      <c r="M11" s="39">
        <f>IFERROR(AVERAGE(Attitude_OT[Nov]),"")</f>
        <v/>
      </c>
      <c r="N11" s="39">
        <f>IFERROR(AVERAGE(Attitude_OT[Dec]),"")</f>
        <v/>
      </c>
      <c r="O11" s="39">
        <f>IFERROR(AVERAGEIF(C11:N11, "&gt;0"),"")</f>
        <v/>
      </c>
      <c r="P11" s="220" t="n"/>
      <c r="Q11" s="220" t="n"/>
      <c r="R11" s="220" t="n"/>
      <c r="S11" s="220" t="n"/>
      <c r="T11" s="220" t="n"/>
      <c r="U11" s="220" t="n"/>
      <c r="V11" s="95" t="n"/>
      <c r="W11" s="91" t="n"/>
      <c r="X11" s="91" t="n"/>
      <c r="Y11" s="91" t="n"/>
      <c r="Z11" s="91" t="n"/>
      <c r="AA11" s="91" t="n"/>
      <c r="AB11" s="220" t="n"/>
      <c r="AC11" s="220" t="n"/>
      <c r="AD11" s="220" t="n"/>
      <c r="AE11" s="220" t="n"/>
      <c r="AF11" s="220" t="n"/>
    </row>
    <row r="12" ht="14.45" customHeight="1">
      <c r="B12" s="220" t="n"/>
      <c r="C12" s="220" t="n"/>
      <c r="D12" s="220" t="n"/>
      <c r="E12" s="220" t="n"/>
      <c r="F12" s="220" t="n"/>
      <c r="G12" s="220" t="n"/>
      <c r="H12" s="220" t="n"/>
      <c r="I12" s="220" t="n"/>
      <c r="J12" s="220" t="n"/>
      <c r="K12" s="220" t="n"/>
      <c r="L12" s="220" t="n"/>
      <c r="M12" s="91" t="n"/>
      <c r="N12" s="91" t="n"/>
      <c r="O12" s="91" t="n"/>
      <c r="P12" s="91" t="n"/>
      <c r="Q12" s="91" t="n"/>
      <c r="R12" s="91" t="n"/>
      <c r="S12" s="91" t="n"/>
      <c r="T12" s="91" t="n"/>
      <c r="U12" s="91" t="n"/>
      <c r="V12" s="91" t="n"/>
      <c r="W12" s="91" t="n"/>
      <c r="X12" s="220" t="n"/>
      <c r="Y12" s="220" t="n"/>
      <c r="Z12" s="220" t="n"/>
      <c r="AA12" s="220" t="n"/>
      <c r="AB12" s="220" t="n"/>
      <c r="AC12" s="220" t="n"/>
      <c r="AD12" s="220" t="n"/>
      <c r="AE12" s="220" t="n"/>
      <c r="AF12" s="220" t="n"/>
    </row>
    <row r="13" ht="14.45" customHeight="1">
      <c r="B13" s="3" t="inlineStr">
        <is>
          <t>Billings</t>
        </is>
      </c>
      <c r="C13" s="133" t="inlineStr">
        <is>
          <t>Jan</t>
        </is>
      </c>
      <c r="D13" s="133" t="inlineStr">
        <is>
          <t>Feb</t>
        </is>
      </c>
      <c r="E13" s="133" t="inlineStr">
        <is>
          <t>Mar</t>
        </is>
      </c>
      <c r="F13" s="133" t="inlineStr">
        <is>
          <t>Apr</t>
        </is>
      </c>
      <c r="G13" s="133" t="inlineStr">
        <is>
          <t>May</t>
        </is>
      </c>
      <c r="H13" s="133" t="inlineStr">
        <is>
          <t>June</t>
        </is>
      </c>
      <c r="I13" s="133" t="inlineStr">
        <is>
          <t>July</t>
        </is>
      </c>
      <c r="J13" s="133" t="inlineStr">
        <is>
          <t>Aug</t>
        </is>
      </c>
      <c r="K13" s="133" t="inlineStr">
        <is>
          <t>Sept</t>
        </is>
      </c>
      <c r="L13" s="133" t="inlineStr">
        <is>
          <t>Oct</t>
        </is>
      </c>
      <c r="M13" s="133" t="inlineStr">
        <is>
          <t>Nov</t>
        </is>
      </c>
      <c r="N13" s="133" t="inlineStr">
        <is>
          <t>Dec</t>
        </is>
      </c>
      <c r="O13" s="133" t="inlineStr">
        <is>
          <t>Average</t>
        </is>
      </c>
      <c r="P13" s="220" t="n"/>
      <c r="Q13" s="191" t="inlineStr">
        <is>
          <t>Billings</t>
        </is>
      </c>
      <c r="R13" s="230" t="n"/>
      <c r="S13" s="230" t="n"/>
      <c r="T13" s="230" t="n"/>
      <c r="U13" s="224" t="n"/>
      <c r="V13" s="220" t="n"/>
      <c r="W13" s="220" t="n"/>
      <c r="X13" s="220" t="n"/>
      <c r="Y13" s="220" t="n"/>
      <c r="Z13" s="220" t="n"/>
      <c r="AA13" s="220" t="n"/>
      <c r="AB13" s="220" t="n"/>
      <c r="AC13" s="96" t="n"/>
      <c r="AD13" s="96" t="n"/>
      <c r="AE13" s="96" t="n"/>
      <c r="AF13" s="96" t="n"/>
    </row>
    <row r="14" ht="14.45" customHeight="1">
      <c r="B14" s="250" t="inlineStr">
        <is>
          <t>Josephine</t>
        </is>
      </c>
      <c r="C14" s="247" t="n"/>
      <c r="D14" s="247" t="n"/>
      <c r="E14" s="247" t="n"/>
      <c r="F14" s="247" t="n"/>
      <c r="G14" s="247" t="n"/>
      <c r="H14" s="247" t="n"/>
      <c r="I14" s="247" t="n"/>
      <c r="J14" s="247" t="n"/>
      <c r="K14" s="247" t="n"/>
      <c r="L14" s="247" t="n"/>
      <c r="M14" s="247" t="n"/>
      <c r="N14" s="247" t="n"/>
      <c r="O14" s="85">
        <f>IFERROR(AVERAGE(Billings_OT[[#This Row],[Jan]:[Dec]]),"")</f>
        <v/>
      </c>
      <c r="P14" s="220" t="n"/>
      <c r="Q14" s="234" t="n"/>
      <c r="R14" s="228" t="n"/>
      <c r="S14" s="228" t="n"/>
      <c r="T14" s="228" t="n"/>
      <c r="U14" s="229" t="n"/>
      <c r="V14" s="220" t="n"/>
      <c r="W14" s="220" t="n"/>
      <c r="X14" s="220" t="n"/>
      <c r="Y14" s="220" t="n"/>
      <c r="Z14" s="220" t="n"/>
      <c r="AA14" s="220" t="n"/>
      <c r="AB14" s="220" t="n"/>
      <c r="AC14" s="96" t="n"/>
      <c r="AD14" s="96" t="n"/>
      <c r="AE14" s="96" t="n"/>
      <c r="AF14" s="96" t="n"/>
    </row>
    <row r="15">
      <c r="B15" s="250" t="inlineStr">
        <is>
          <t>Caitlin</t>
        </is>
      </c>
      <c r="C15" s="247" t="n"/>
      <c r="D15" s="247" t="n"/>
      <c r="E15" s="247" t="n"/>
      <c r="F15" s="247" t="n"/>
      <c r="G15" s="247" t="n"/>
      <c r="H15" s="247" t="n"/>
      <c r="I15" s="247" t="n"/>
      <c r="J15" s="247" t="n"/>
      <c r="K15" s="247" t="n"/>
      <c r="L15" s="247" t="n"/>
      <c r="M15" s="247" t="n"/>
      <c r="N15" s="247" t="n"/>
      <c r="O15" s="85">
        <f>IFERROR(AVERAGE(Billings_OT[[#This Row],[Jan]:[Dec]]),"")</f>
        <v/>
      </c>
      <c r="P15" s="220" t="n"/>
      <c r="Q15" s="8" t="n"/>
      <c r="R15" s="9" t="n"/>
      <c r="S15" s="20" t="inlineStr">
        <is>
          <t>Below</t>
        </is>
      </c>
      <c r="T15" s="20" t="inlineStr">
        <is>
          <t>Good</t>
        </is>
      </c>
      <c r="U15" s="20" t="inlineStr">
        <is>
          <t>Excellent</t>
        </is>
      </c>
      <c r="V15" s="220" t="n"/>
      <c r="W15" s="220" t="n"/>
      <c r="X15" s="220" t="n"/>
      <c r="Y15" s="220" t="n"/>
      <c r="Z15" s="220" t="n"/>
      <c r="AA15" s="220" t="n"/>
      <c r="AB15" s="220" t="n"/>
      <c r="AC15" s="96" t="n"/>
      <c r="AD15" s="96" t="n"/>
      <c r="AE15" s="96" t="n"/>
      <c r="AF15" s="96" t="n"/>
    </row>
    <row r="16" ht="15" customHeight="1">
      <c r="B16" s="250" t="inlineStr">
        <is>
          <t>Charlotte</t>
        </is>
      </c>
      <c r="C16" s="247" t="n"/>
      <c r="D16" s="247" t="n"/>
      <c r="E16" s="247" t="n"/>
      <c r="F16" s="247" t="n"/>
      <c r="G16" s="247" t="n"/>
      <c r="H16" s="247" t="n"/>
      <c r="I16" s="247" t="n"/>
      <c r="J16" s="247" t="n"/>
      <c r="K16" s="247" t="n"/>
      <c r="L16" s="247" t="n"/>
      <c r="M16" s="247" t="n"/>
      <c r="N16" s="247" t="n"/>
      <c r="O16" s="85">
        <f>IFERROR(AVERAGE(Billings_OT[[#This Row],[Jan]:[Dec]]),"")</f>
        <v/>
      </c>
      <c r="P16" s="220" t="n"/>
      <c r="Q16" s="176" t="inlineStr">
        <is>
          <t>Grad</t>
        </is>
      </c>
      <c r="R16" s="222" t="n"/>
      <c r="S16" s="22" t="inlineStr">
        <is>
          <t>&lt;4</t>
        </is>
      </c>
      <c r="T16" s="24" t="inlineStr">
        <is>
          <t>4-4.8</t>
        </is>
      </c>
      <c r="U16" s="26" t="inlineStr">
        <is>
          <t>&gt;4.8</t>
        </is>
      </c>
      <c r="V16" s="220" t="n"/>
      <c r="W16" s="220" t="n"/>
      <c r="X16" s="220" t="n"/>
      <c r="Y16" s="220" t="n"/>
      <c r="Z16" s="220" t="n"/>
      <c r="AA16" s="220" t="n"/>
      <c r="AB16" s="220" t="n"/>
      <c r="AC16" s="96" t="n"/>
      <c r="AD16" s="96" t="n"/>
      <c r="AE16" s="96" t="n"/>
      <c r="AF16" s="96" t="n"/>
    </row>
    <row r="17" ht="15" customHeight="1">
      <c r="B17" s="250" t="inlineStr">
        <is>
          <t>Isabella</t>
        </is>
      </c>
      <c r="C17" s="247" t="n"/>
      <c r="D17" s="247" t="n"/>
      <c r="E17" s="247" t="n"/>
      <c r="F17" s="247" t="n"/>
      <c r="G17" s="247" t="n"/>
      <c r="H17" s="247" t="n"/>
      <c r="I17" s="247" t="n"/>
      <c r="J17" s="247" t="n"/>
      <c r="K17" s="247" t="n"/>
      <c r="L17" s="247" t="n"/>
      <c r="M17" s="247" t="n"/>
      <c r="N17" s="247" t="n"/>
      <c r="O17" s="119">
        <f>IFERROR(AVERAGE(Billings_OT[[#This Row],[Jan]:[Dec]]),"")</f>
        <v/>
      </c>
      <c r="P17" s="220" t="n"/>
      <c r="Q17" s="176" t="inlineStr">
        <is>
          <t>CA</t>
        </is>
      </c>
      <c r="R17" s="222" t="n"/>
      <c r="S17" s="22" t="inlineStr">
        <is>
          <t>&lt;4.5</t>
        </is>
      </c>
      <c r="T17" s="24" t="inlineStr">
        <is>
          <t>4.5-5</t>
        </is>
      </c>
      <c r="U17" s="26" t="inlineStr">
        <is>
          <t>&gt;5</t>
        </is>
      </c>
      <c r="V17" s="220" t="n"/>
      <c r="W17" s="220" t="n"/>
      <c r="X17" s="220" t="n"/>
      <c r="Y17" s="220" t="n"/>
      <c r="Z17" s="220" t="n"/>
      <c r="AA17" s="220" t="n"/>
      <c r="AB17" s="220" t="n"/>
      <c r="AC17" s="96" t="n"/>
      <c r="AD17" s="96" t="n"/>
      <c r="AE17" s="96" t="n"/>
      <c r="AF17" s="96" t="n"/>
    </row>
    <row r="18">
      <c r="B18" s="250" t="inlineStr">
        <is>
          <t>Lynn</t>
        </is>
      </c>
      <c r="C18" s="247" t="n"/>
      <c r="D18" s="247" t="n"/>
      <c r="E18" s="247" t="n"/>
      <c r="F18" s="247" t="n"/>
      <c r="G18" s="247" t="n"/>
      <c r="H18" s="247" t="n"/>
      <c r="I18" s="247" t="n"/>
      <c r="J18" s="247" t="n"/>
      <c r="K18" s="247" t="n"/>
      <c r="L18" s="247" t="n"/>
      <c r="M18" s="247" t="n"/>
      <c r="N18" s="247" t="n"/>
      <c r="O18" s="119">
        <f>IFERROR(AVERAGE(Billings_OT[[#This Row],[Jan]:[Dec]]),"")</f>
        <v/>
      </c>
      <c r="P18" s="220" t="n"/>
      <c r="Q18" s="176" t="inlineStr">
        <is>
          <t>Senior</t>
        </is>
      </c>
      <c r="R18" s="222" t="n"/>
      <c r="S18" s="22" t="inlineStr">
        <is>
          <t>&lt;4.8</t>
        </is>
      </c>
      <c r="T18" s="24" t="inlineStr">
        <is>
          <t>4.8-5.2</t>
        </is>
      </c>
      <c r="U18" s="26" t="inlineStr">
        <is>
          <t>&gt;5.2</t>
        </is>
      </c>
      <c r="V18" s="220" t="n"/>
      <c r="W18" s="220" t="n"/>
      <c r="X18" s="220" t="n"/>
      <c r="Y18" s="220" t="n"/>
      <c r="Z18" s="220" t="n"/>
      <c r="AA18" s="220" t="n"/>
      <c r="AB18" s="220" t="n"/>
      <c r="AC18" s="96" t="n"/>
      <c r="AD18" s="96" t="n"/>
      <c r="AE18" s="96" t="n"/>
      <c r="AF18" s="96" t="n"/>
    </row>
    <row r="19">
      <c r="B19" s="250" t="inlineStr">
        <is>
          <t>Portia</t>
        </is>
      </c>
      <c r="C19" s="247" t="n"/>
      <c r="D19" s="247" t="n"/>
      <c r="E19" s="247" t="n"/>
      <c r="F19" s="247" t="n"/>
      <c r="G19" s="247" t="n"/>
      <c r="H19" s="247" t="n"/>
      <c r="I19" s="247" t="n"/>
      <c r="J19" s="247" t="n"/>
      <c r="K19" s="247" t="n"/>
      <c r="L19" s="247" t="n"/>
      <c r="M19" s="247" t="n"/>
      <c r="N19" s="247" t="n"/>
      <c r="O19" s="119">
        <f>IFERROR(AVERAGE(Billings_OT[[#This Row],[Jan]:[Dec]]),"")</f>
        <v/>
      </c>
      <c r="P19" s="220" t="n"/>
      <c r="Q19" s="220" t="n"/>
      <c r="R19" s="220" t="n"/>
      <c r="S19" s="220" t="n"/>
      <c r="T19" s="220" t="n"/>
      <c r="U19" s="220" t="n"/>
      <c r="V19" s="220" t="n"/>
      <c r="W19" s="220" t="n"/>
      <c r="X19" s="220" t="n"/>
      <c r="Y19" s="220" t="n"/>
      <c r="Z19" s="220" t="n"/>
      <c r="AA19" s="220" t="n"/>
      <c r="AB19" s="220" t="n"/>
      <c r="AC19" s="96" t="n"/>
      <c r="AD19" s="96" t="n"/>
      <c r="AE19" s="96" t="n"/>
      <c r="AF19" s="96" t="n"/>
    </row>
    <row r="20" ht="14.45" customHeight="1">
      <c r="B20" s="250" t="inlineStr">
        <is>
          <t>Bao</t>
        </is>
      </c>
      <c r="C20" s="247" t="n"/>
      <c r="D20" s="247" t="n"/>
      <c r="E20" s="247" t="n"/>
      <c r="F20" s="247" t="n"/>
      <c r="G20" s="247" t="n"/>
      <c r="H20" s="247" t="n"/>
      <c r="I20" s="247" t="n"/>
      <c r="J20" s="247" t="n"/>
      <c r="K20" s="247" t="n"/>
      <c r="L20" s="247" t="n"/>
      <c r="M20" s="247" t="n"/>
      <c r="N20" s="247" t="n"/>
      <c r="O20" s="85">
        <f>IFERROR(AVERAGE(Billings_OT[[#This Row],[Jan]:[Dec]]),"")</f>
        <v/>
      </c>
      <c r="P20" s="91" t="n"/>
      <c r="Q20" s="91" t="n"/>
      <c r="R20" s="91" t="n"/>
      <c r="S20" s="91" t="n"/>
      <c r="T20" s="91" t="n"/>
      <c r="U20" s="91" t="n"/>
      <c r="V20" s="91" t="n"/>
      <c r="W20" s="91" t="n"/>
      <c r="X20" s="220" t="n"/>
      <c r="Y20" s="220" t="n"/>
      <c r="Z20" s="220" t="n"/>
      <c r="AA20" s="220" t="n"/>
      <c r="AB20" s="220" t="n"/>
      <c r="AC20" s="220" t="n"/>
      <c r="AD20" s="220" t="n"/>
      <c r="AE20" s="220" t="n"/>
      <c r="AF20" s="220" t="n"/>
    </row>
    <row r="21" ht="14.45" customHeight="1">
      <c r="B21" s="260" t="inlineStr">
        <is>
          <t>Jiayee</t>
        </is>
      </c>
      <c r="C21" s="261" t="n"/>
      <c r="D21" s="261" t="n"/>
      <c r="E21" s="261" t="n"/>
      <c r="F21" s="261" t="n"/>
      <c r="G21" s="261" t="n"/>
      <c r="H21" s="261" t="n"/>
      <c r="I21" s="261" t="n"/>
      <c r="J21" s="261" t="n"/>
      <c r="K21" s="261" t="n"/>
      <c r="L21" s="261" t="n"/>
      <c r="M21" s="261" t="n"/>
      <c r="N21" s="261" t="n"/>
      <c r="O21" s="119">
        <f>IFERROR(AVERAGE(Billings_OT[[#This Row],[Jan]:[Dec]]),"")</f>
        <v/>
      </c>
      <c r="P21" s="220" t="n"/>
      <c r="Q21" s="188" t="inlineStr">
        <is>
          <t>Operational Efficiency, Compliance &amp; Admin Responsiveness</t>
        </is>
      </c>
      <c r="R21" s="236" t="n"/>
      <c r="S21" s="236" t="n"/>
      <c r="T21" s="236" t="n"/>
      <c r="U21" s="231" t="n"/>
      <c r="V21" s="91" t="n"/>
      <c r="W21" s="91" t="n"/>
      <c r="X21" s="91" t="n"/>
      <c r="Y21" s="91" t="n"/>
      <c r="Z21" s="91" t="n"/>
      <c r="AA21" s="91" t="n"/>
      <c r="AB21" s="96" t="n"/>
      <c r="AC21" s="220" t="n"/>
      <c r="AD21" s="220" t="n"/>
      <c r="AE21" s="220" t="n"/>
      <c r="AF21" s="220" t="n"/>
    </row>
    <row r="22" ht="14.45" customHeight="1">
      <c r="B22" s="260" t="inlineStr">
        <is>
          <t>Rainie</t>
        </is>
      </c>
      <c r="C22" s="261" t="n"/>
      <c r="D22" s="261" t="n"/>
      <c r="E22" s="261" t="n"/>
      <c r="F22" s="261" t="n"/>
      <c r="G22" s="261" t="n"/>
      <c r="H22" s="261" t="n"/>
      <c r="I22" s="261" t="n"/>
      <c r="J22" s="261" t="n"/>
      <c r="K22" s="261" t="n"/>
      <c r="L22" s="261" t="n"/>
      <c r="M22" s="261" t="n"/>
      <c r="N22" s="261" t="n"/>
      <c r="O22" s="85">
        <f>IFERROR(AVERAGE(Billings_OT[[#This Row],[Jan]:[Dec]]),"")</f>
        <v/>
      </c>
      <c r="P22" s="220" t="n"/>
      <c r="Q22" s="196" t="inlineStr">
        <is>
          <t>Clinical notes, service agreements, invoicing, travel efficiency, &amp; admin communication.</t>
        </is>
      </c>
      <c r="R22" s="238" t="n"/>
      <c r="S22" s="238" t="n"/>
      <c r="T22" s="238" t="n"/>
      <c r="U22" s="239" t="n"/>
      <c r="V22" s="91" t="n"/>
      <c r="W22" s="91" t="n"/>
      <c r="X22" s="91" t="n"/>
      <c r="Y22" s="91" t="n"/>
      <c r="Z22" s="91" t="n"/>
      <c r="AA22" s="91" t="n"/>
      <c r="AB22" s="96" t="n"/>
      <c r="AC22" s="220" t="n"/>
      <c r="AD22" s="220" t="n"/>
      <c r="AE22" s="220" t="n"/>
      <c r="AF22" s="220" t="n"/>
    </row>
    <row r="23">
      <c r="B23" s="262" t="inlineStr">
        <is>
          <t>Sabrina</t>
        </is>
      </c>
      <c r="C23" s="261" t="n"/>
      <c r="D23" s="261" t="n"/>
      <c r="E23" s="261" t="n"/>
      <c r="F23" s="261" t="n"/>
      <c r="G23" s="261" t="n"/>
      <c r="H23" s="261" t="n"/>
      <c r="I23" s="261" t="n"/>
      <c r="J23" s="261" t="n"/>
      <c r="K23" s="261" t="n"/>
      <c r="L23" s="261" t="n"/>
      <c r="M23" s="261" t="n"/>
      <c r="N23" s="261" t="n"/>
      <c r="O23" s="85">
        <f>IFERROR(AVERAGE(Billings_OT[[#This Row],[Jan]:[Dec]]),"")</f>
        <v/>
      </c>
      <c r="P23" s="220" t="n"/>
      <c r="Q23" s="209" t="n">
        <v>5</v>
      </c>
      <c r="R23" s="224" t="n"/>
      <c r="S23" s="207" t="inlineStr">
        <is>
          <t>Excellent</t>
        </is>
      </c>
      <c r="T23" s="230" t="n"/>
      <c r="U23" s="230" t="n"/>
      <c r="V23" s="11" t="inlineStr">
        <is>
          <t>Always submits accurate documentation on time, responds promptly to admin, and plans travel efficiently. Follows processes consistently.</t>
        </is>
      </c>
      <c r="W23" s="44" t="n"/>
      <c r="X23" s="44" t="n"/>
      <c r="Y23" s="44" t="n"/>
      <c r="Z23" s="44" t="n"/>
      <c r="AA23" s="44" t="n"/>
      <c r="AB23" s="45" t="n"/>
      <c r="AC23" s="46" t="n"/>
      <c r="AD23" s="47" t="n"/>
      <c r="AE23" s="220" t="n"/>
      <c r="AF23" s="220" t="n"/>
    </row>
    <row r="24">
      <c r="B24" s="220" t="n"/>
      <c r="C24" s="220" t="n"/>
      <c r="D24" s="220" t="n"/>
      <c r="E24" s="220" t="n"/>
      <c r="F24" s="220" t="n"/>
      <c r="G24" s="220" t="n"/>
      <c r="H24" s="220" t="n"/>
      <c r="I24" s="220" t="n"/>
      <c r="J24" s="220" t="n"/>
      <c r="K24" s="97" t="n"/>
      <c r="L24" s="220" t="n"/>
      <c r="M24" s="91" t="n"/>
      <c r="N24" s="91" t="n"/>
      <c r="O24" s="91" t="n"/>
      <c r="P24" s="220" t="n"/>
      <c r="Q24" s="206" t="n">
        <v>4</v>
      </c>
      <c r="R24" s="226" t="n"/>
      <c r="S24" s="192" t="inlineStr">
        <is>
          <t>Very Good</t>
        </is>
      </c>
      <c r="V24" s="13" t="inlineStr">
        <is>
          <t>Mostly accurate and timely with documentation and admin replies. Travel is generally efficient.</t>
        </is>
      </c>
      <c r="W24" s="91" t="n"/>
      <c r="X24" s="91" t="n"/>
      <c r="Y24" s="91" t="n"/>
      <c r="Z24" s="91" t="n"/>
      <c r="AA24" s="91" t="n"/>
      <c r="AB24" s="96" t="n"/>
      <c r="AC24" s="220" t="n"/>
      <c r="AD24" s="48" t="n"/>
      <c r="AE24" s="220" t="n"/>
      <c r="AF24" s="220" t="n"/>
    </row>
    <row r="25" ht="14.45" customHeight="1">
      <c r="B25" s="88" t="inlineStr">
        <is>
          <t>Operational Efficiency, Compliance &amp; Admin Responsiveness</t>
        </is>
      </c>
      <c r="C25" s="132" t="inlineStr">
        <is>
          <t>Jan</t>
        </is>
      </c>
      <c r="D25" s="132" t="inlineStr">
        <is>
          <t>Feb</t>
        </is>
      </c>
      <c r="E25" s="132" t="inlineStr">
        <is>
          <t>Mar</t>
        </is>
      </c>
      <c r="F25" s="132" t="inlineStr">
        <is>
          <t>Apr</t>
        </is>
      </c>
      <c r="G25" s="132" t="inlineStr">
        <is>
          <t>May</t>
        </is>
      </c>
      <c r="H25" s="132" t="inlineStr">
        <is>
          <t>June</t>
        </is>
      </c>
      <c r="I25" s="132" t="inlineStr">
        <is>
          <t>July</t>
        </is>
      </c>
      <c r="J25" s="132" t="inlineStr">
        <is>
          <t>Aug</t>
        </is>
      </c>
      <c r="K25" s="132" t="inlineStr">
        <is>
          <t>Sept</t>
        </is>
      </c>
      <c r="L25" s="132" t="inlineStr">
        <is>
          <t>Oct</t>
        </is>
      </c>
      <c r="M25" s="132" t="inlineStr">
        <is>
          <t>Nov</t>
        </is>
      </c>
      <c r="N25" s="132" t="inlineStr">
        <is>
          <t>Dec</t>
        </is>
      </c>
      <c r="O25" s="132" t="inlineStr">
        <is>
          <t>Average</t>
        </is>
      </c>
      <c r="P25" s="220" t="n"/>
      <c r="Q25" s="206" t="n">
        <v>3</v>
      </c>
      <c r="R25" s="226" t="n"/>
      <c r="S25" s="185" t="inlineStr">
        <is>
          <t>In Progress</t>
        </is>
      </c>
      <c r="V25" s="13" t="inlineStr">
        <is>
          <t>Some delays or inconsistencies in documentation or admin responsiveness. Travel planning could improve.</t>
        </is>
      </c>
      <c r="W25" s="91" t="n"/>
      <c r="X25" s="91" t="n"/>
      <c r="Y25" s="91" t="n"/>
      <c r="Z25" s="91" t="n"/>
      <c r="AA25" s="91" t="n"/>
      <c r="AB25" s="96" t="n"/>
      <c r="AC25" s="220" t="n"/>
      <c r="AD25" s="48" t="n"/>
      <c r="AE25" s="220" t="n"/>
      <c r="AF25" s="220" t="n"/>
    </row>
    <row r="26" ht="14.45" customHeight="1">
      <c r="B26" s="250" t="inlineStr">
        <is>
          <t>Josephine</t>
        </is>
      </c>
      <c r="C26" s="247" t="n"/>
      <c r="D26" s="247" t="n"/>
      <c r="E26" s="247" t="n"/>
      <c r="F26" s="247" t="n"/>
      <c r="G26" s="247" t="n"/>
      <c r="H26" s="247" t="n"/>
      <c r="I26" s="247" t="n"/>
      <c r="J26" s="247" t="n"/>
      <c r="K26" s="247" t="n"/>
      <c r="L26" s="247" t="n"/>
      <c r="M26" s="247" t="n"/>
      <c r="N26" s="247" t="n"/>
      <c r="O26" s="86">
        <f>IFERROR(AVERAGE(Compliance_OT[[#This Row],[Jan]:[Dec]]),"")</f>
        <v/>
      </c>
      <c r="P26" s="220" t="n"/>
      <c r="Q26" s="206" t="n">
        <v>2</v>
      </c>
      <c r="R26" s="226" t="n"/>
      <c r="S26" s="182" t="inlineStr">
        <is>
          <t>Needs Improvement</t>
        </is>
      </c>
      <c r="V26" s="13" t="inlineStr">
        <is>
          <t>Frequent delays or inefficiencies. Often slow to respond to admin. Needs reminders.</t>
        </is>
      </c>
      <c r="W26" s="91" t="n"/>
      <c r="X26" s="91" t="n"/>
      <c r="Y26" s="91" t="n"/>
      <c r="Z26" s="91" t="n"/>
      <c r="AA26" s="91" t="n"/>
      <c r="AB26" s="96" t="n"/>
      <c r="AC26" s="220" t="n"/>
      <c r="AD26" s="48" t="n"/>
      <c r="AE26" s="220" t="n"/>
      <c r="AF26" s="220" t="n"/>
    </row>
    <row r="27">
      <c r="B27" s="250" t="inlineStr">
        <is>
          <t>Caitlin</t>
        </is>
      </c>
      <c r="C27" s="254" t="n"/>
      <c r="D27" s="254" t="n"/>
      <c r="E27" s="254" t="n"/>
      <c r="F27" s="254" t="n"/>
      <c r="G27" s="254" t="n"/>
      <c r="H27" s="254" t="n"/>
      <c r="I27" s="254" t="n"/>
      <c r="J27" s="254" t="n"/>
      <c r="K27" s="254" t="n"/>
      <c r="L27" s="254" t="n"/>
      <c r="M27" s="254" t="n"/>
      <c r="N27" s="254" t="n"/>
      <c r="O27" s="86">
        <f>IFERROR(AVERAGE(Compliance_OT[[#This Row],[Jan]:[Dec]]),"")</f>
        <v/>
      </c>
      <c r="P27" s="220" t="n"/>
      <c r="Q27" s="211" t="n">
        <v>1</v>
      </c>
      <c r="R27" s="229" t="n"/>
      <c r="S27" s="184" t="inlineStr">
        <is>
          <t>Unsatisfactory</t>
        </is>
      </c>
      <c r="T27" s="240" t="n"/>
      <c r="U27" s="240" t="n"/>
      <c r="V27" s="15" t="inlineStr">
        <is>
          <t>Often late or inaccurate. Poor planning, poor admin responsiveness, and non-compliance with systems.</t>
        </is>
      </c>
      <c r="W27" s="49" t="n"/>
      <c r="X27" s="49" t="n"/>
      <c r="Y27" s="49" t="n"/>
      <c r="Z27" s="49" t="n"/>
      <c r="AA27" s="49" t="n"/>
      <c r="AB27" s="50" t="n"/>
      <c r="AC27" s="51" t="n"/>
      <c r="AD27" s="52" t="n"/>
      <c r="AE27" s="220" t="n"/>
      <c r="AF27" s="220" t="n"/>
    </row>
    <row r="28">
      <c r="B28" s="250" t="inlineStr">
        <is>
          <t>Charlotte</t>
        </is>
      </c>
      <c r="C28" s="247" t="n"/>
      <c r="D28" s="247" t="n"/>
      <c r="E28" s="247" t="n"/>
      <c r="F28" s="247" t="n"/>
      <c r="G28" s="247" t="n"/>
      <c r="H28" s="247" t="n"/>
      <c r="I28" s="247" t="n"/>
      <c r="J28" s="247" t="n"/>
      <c r="K28" s="247" t="n"/>
      <c r="L28" s="247" t="n"/>
      <c r="M28" s="247" t="n"/>
      <c r="N28" s="247" t="n"/>
      <c r="O28" s="86">
        <f>IFERROR(AVERAGE(Compliance_OT[[#This Row],[Jan]:[Dec]]),"")</f>
        <v/>
      </c>
      <c r="P28" s="91" t="n"/>
      <c r="Q28" s="91" t="n"/>
      <c r="R28" s="91" t="n"/>
      <c r="S28" s="91" t="n"/>
      <c r="T28" s="91" t="n"/>
      <c r="U28" s="91" t="n"/>
      <c r="V28" s="91" t="n"/>
      <c r="W28" s="91" t="n"/>
      <c r="X28" s="96" t="n"/>
      <c r="Y28" s="220" t="n"/>
      <c r="Z28" s="220" t="n"/>
      <c r="AA28" s="220" t="n"/>
      <c r="AB28" s="220" t="n"/>
      <c r="AC28" s="220" t="n"/>
      <c r="AD28" s="220" t="n"/>
      <c r="AE28" s="220" t="n"/>
      <c r="AF28" s="220" t="n"/>
    </row>
    <row r="29" ht="14.45" customHeight="1">
      <c r="B29" s="250" t="inlineStr">
        <is>
          <t>Isabella</t>
        </is>
      </c>
      <c r="C29" s="247" t="n"/>
      <c r="D29" s="247" t="n"/>
      <c r="E29" s="247" t="n"/>
      <c r="F29" s="247" t="n"/>
      <c r="G29" s="247" t="n"/>
      <c r="H29" s="247" t="n"/>
      <c r="I29" s="247" t="n"/>
      <c r="J29" s="247" t="n"/>
      <c r="K29" s="247" t="n"/>
      <c r="L29" s="247" t="n"/>
      <c r="M29" s="247" t="n"/>
      <c r="N29" s="247" t="n"/>
      <c r="O29" s="126">
        <f>IFERROR(AVERAGE(Compliance_OT[[#This Row],[Jan]:[Dec]]),"")</f>
        <v/>
      </c>
      <c r="P29" s="220" t="n"/>
      <c r="Q29" s="177" t="inlineStr">
        <is>
          <t>Client &amp; Referrer Satisfaction</t>
        </is>
      </c>
      <c r="R29" s="221" t="n"/>
      <c r="S29" s="221" t="n"/>
      <c r="T29" s="221" t="n"/>
      <c r="U29" s="222" t="n"/>
      <c r="V29" s="91" t="n"/>
      <c r="W29" s="91" t="n"/>
      <c r="X29" s="91" t="n"/>
      <c r="Y29" s="91" t="n"/>
      <c r="Z29" s="91" t="n"/>
      <c r="AA29" s="91" t="n"/>
      <c r="AB29" s="220" t="n"/>
      <c r="AC29" s="220" t="n"/>
      <c r="AD29" s="220" t="n"/>
      <c r="AE29" s="220" t="n"/>
      <c r="AF29" s="220" t="n"/>
    </row>
    <row r="30">
      <c r="B30" s="250" t="inlineStr">
        <is>
          <t>Lynn</t>
        </is>
      </c>
      <c r="C30" s="247" t="n"/>
      <c r="D30" s="247" t="n"/>
      <c r="E30" s="247" t="n"/>
      <c r="F30" s="247" t="n"/>
      <c r="G30" s="247" t="n"/>
      <c r="H30" s="247" t="n"/>
      <c r="I30" s="247" t="n"/>
      <c r="J30" s="247" t="n"/>
      <c r="K30" s="247" t="n"/>
      <c r="L30" s="247" t="n"/>
      <c r="M30" s="247" t="n"/>
      <c r="N30" s="247" t="n"/>
      <c r="O30" s="126">
        <f>IFERROR(AVERAGE(Compliance_OT[[#This Row],[Jan]:[Dec]]),"")</f>
        <v/>
      </c>
      <c r="P30" s="220" t="n"/>
      <c r="Q30" s="183" t="inlineStr">
        <is>
          <t>Looks at how well we keep both clients and referrers in the loop and build rapport.</t>
        </is>
      </c>
      <c r="R30" s="236" t="n"/>
      <c r="S30" s="236" t="n"/>
      <c r="T30" s="236" t="n"/>
      <c r="U30" s="231" t="n"/>
      <c r="V30" s="91" t="n"/>
      <c r="W30" s="91" t="n"/>
      <c r="X30" s="91" t="n"/>
      <c r="Y30" s="91" t="n"/>
      <c r="Z30" s="91" t="n"/>
      <c r="AA30" s="91" t="n"/>
      <c r="AB30" s="220" t="n"/>
      <c r="AC30" s="220" t="n"/>
      <c r="AD30" s="220" t="n"/>
      <c r="AE30" s="220" t="n"/>
      <c r="AF30" s="220" t="n"/>
    </row>
    <row r="31">
      <c r="B31" s="250" t="inlineStr">
        <is>
          <t>Portia</t>
        </is>
      </c>
      <c r="C31" s="247" t="n"/>
      <c r="D31" s="247" t="n"/>
      <c r="E31" s="247" t="n"/>
      <c r="F31" s="247" t="n"/>
      <c r="G31" s="247" t="n"/>
      <c r="H31" s="247" t="n"/>
      <c r="I31" s="247" t="n"/>
      <c r="J31" s="247" t="n"/>
      <c r="K31" s="247" t="n"/>
      <c r="L31" s="247" t="n"/>
      <c r="M31" s="247" t="n"/>
      <c r="N31" s="247" t="n"/>
      <c r="O31" s="126">
        <f>IFERROR(AVERAGE(Compliance_OT[[#This Row],[Jan]:[Dec]]),"")</f>
        <v/>
      </c>
      <c r="P31" s="220" t="n"/>
      <c r="Q31" s="11" t="n">
        <v>5</v>
      </c>
      <c r="R31" s="12" t="n"/>
      <c r="S31" s="181" t="inlineStr">
        <is>
          <t>Excellent</t>
        </is>
      </c>
      <c r="T31" s="236" t="n"/>
      <c r="U31" s="236" t="n"/>
      <c r="V31" s="11" t="inlineStr">
        <is>
          <t>Proactive and clear communication. Strong relationships. Regular positive feedback, great client results.</t>
        </is>
      </c>
      <c r="W31" s="44" t="n"/>
      <c r="X31" s="44" t="n"/>
      <c r="Y31" s="44" t="n"/>
      <c r="Z31" s="44" t="n"/>
      <c r="AA31" s="44" t="n"/>
      <c r="AB31" s="46" t="n"/>
      <c r="AC31" s="46" t="n"/>
      <c r="AD31" s="47" t="n"/>
      <c r="AE31" s="220" t="n"/>
      <c r="AF31" s="220" t="n"/>
    </row>
    <row r="32">
      <c r="B32" s="250" t="inlineStr">
        <is>
          <t>Bao</t>
        </is>
      </c>
      <c r="C32" s="247" t="n"/>
      <c r="D32" s="247" t="n"/>
      <c r="E32" s="247" t="n"/>
      <c r="F32" s="247" t="n"/>
      <c r="G32" s="247" t="n"/>
      <c r="H32" s="247" t="n"/>
      <c r="I32" s="247" t="n"/>
      <c r="J32" s="247" t="n"/>
      <c r="K32" s="247" t="n"/>
      <c r="L32" s="247" t="n"/>
      <c r="M32" s="247" t="n"/>
      <c r="N32" s="247" t="n"/>
      <c r="O32" s="86">
        <f>IFERROR(AVERAGE(Compliance_OT[[#This Row],[Jan]:[Dec]]),"")</f>
        <v/>
      </c>
      <c r="P32" s="220" t="n"/>
      <c r="Q32" s="13" t="n">
        <v>4</v>
      </c>
      <c r="R32" s="14" t="n"/>
      <c r="S32" s="192" t="inlineStr">
        <is>
          <t>Very Good</t>
        </is>
      </c>
      <c r="V32" s="13" t="inlineStr">
        <is>
          <t>Communicates well most of the time. Positive rapport.</t>
        </is>
      </c>
      <c r="W32" s="91" t="n"/>
      <c r="X32" s="91" t="n"/>
      <c r="Y32" s="91" t="n"/>
      <c r="Z32" s="91" t="n"/>
      <c r="AA32" s="91" t="n"/>
      <c r="AB32" s="220" t="n"/>
      <c r="AC32" s="220" t="n"/>
      <c r="AD32" s="48" t="n"/>
      <c r="AE32" s="220" t="n"/>
      <c r="AF32" s="220" t="n"/>
    </row>
    <row r="33">
      <c r="B33" s="260" t="inlineStr">
        <is>
          <t>Jiayee</t>
        </is>
      </c>
      <c r="C33" s="261" t="n"/>
      <c r="D33" s="261" t="n"/>
      <c r="E33" s="261" t="n"/>
      <c r="F33" s="261" t="n"/>
      <c r="G33" s="261" t="n"/>
      <c r="H33" s="261" t="n"/>
      <c r="I33" s="261" t="n"/>
      <c r="J33" s="261" t="n"/>
      <c r="K33" s="261" t="n"/>
      <c r="L33" s="261" t="n"/>
      <c r="M33" s="261" t="n"/>
      <c r="N33" s="261" t="n"/>
      <c r="O33" s="126">
        <f>IFERROR(AVERAGE(Compliance_OT[[#This Row],[Jan]:[Dec]]),"")</f>
        <v/>
      </c>
      <c r="P33" s="220" t="n"/>
      <c r="Q33" s="13" t="n">
        <v>3</v>
      </c>
      <c r="R33" s="14" t="n"/>
      <c r="S33" s="185" t="inlineStr">
        <is>
          <t>In Progress</t>
        </is>
      </c>
      <c r="V33" s="13" t="inlineStr">
        <is>
          <t>Generally responsive but a bit inconsistent.</t>
        </is>
      </c>
      <c r="W33" s="91" t="n"/>
      <c r="X33" s="91" t="n"/>
      <c r="Y33" s="91" t="n"/>
      <c r="Z33" s="91" t="n"/>
      <c r="AA33" s="91" t="n"/>
      <c r="AB33" s="220" t="n"/>
      <c r="AC33" s="220" t="n"/>
      <c r="AD33" s="48" t="n"/>
    </row>
    <row r="34">
      <c r="B34" s="260" t="inlineStr">
        <is>
          <t>Rainie</t>
        </is>
      </c>
      <c r="C34" s="261" t="n"/>
      <c r="D34" s="261" t="n"/>
      <c r="E34" s="261" t="n"/>
      <c r="F34" s="261" t="n"/>
      <c r="G34" s="261" t="n"/>
      <c r="H34" s="261" t="n"/>
      <c r="I34" s="261" t="n"/>
      <c r="J34" s="261" t="n"/>
      <c r="K34" s="261" t="n"/>
      <c r="L34" s="261" t="n"/>
      <c r="M34" s="261" t="n"/>
      <c r="N34" s="261" t="n"/>
      <c r="O34" s="86">
        <f>IFERROR(AVERAGE(Compliance_OT[[#This Row],[Jan]:[Dec]]),"")</f>
        <v/>
      </c>
      <c r="P34" s="220" t="n"/>
      <c r="Q34" s="13" t="n">
        <v>2</v>
      </c>
      <c r="R34" s="14" t="n"/>
      <c r="S34" s="182" t="inlineStr">
        <is>
          <t>Needs Improvement</t>
        </is>
      </c>
      <c r="V34" s="13" t="inlineStr">
        <is>
          <t>Delays or lack of clarity. Occasional negative feedback.</t>
        </is>
      </c>
      <c r="W34" s="91" t="n"/>
      <c r="X34" s="91" t="n"/>
      <c r="Y34" s="91" t="n"/>
      <c r="Z34" s="91" t="n"/>
      <c r="AA34" s="91" t="n"/>
      <c r="AB34" s="220" t="n"/>
      <c r="AC34" s="220" t="n"/>
      <c r="AD34" s="48" t="n"/>
    </row>
    <row r="35">
      <c r="B35" s="262" t="inlineStr">
        <is>
          <t>Sabrina</t>
        </is>
      </c>
      <c r="C35" s="261" t="n"/>
      <c r="D35" s="261" t="n"/>
      <c r="E35" s="261" t="n"/>
      <c r="F35" s="261" t="n"/>
      <c r="G35" s="261" t="n"/>
      <c r="H35" s="261" t="n"/>
      <c r="I35" s="261" t="n"/>
      <c r="J35" s="261" t="n"/>
      <c r="K35" s="261" t="n"/>
      <c r="L35" s="261" t="n"/>
      <c r="M35" s="261" t="n"/>
      <c r="N35" s="261" t="n"/>
      <c r="O35" s="86">
        <f>IFERROR(AVERAGE(Compliance_OT[[#This Row],[Jan]:[Dec]]),"")</f>
        <v/>
      </c>
      <c r="P35" s="220" t="n"/>
      <c r="Q35" s="15" t="n">
        <v>1</v>
      </c>
      <c r="R35" s="16" t="n"/>
      <c r="S35" s="190" t="inlineStr">
        <is>
          <t>Unsatisfactory</t>
        </is>
      </c>
      <c r="T35" s="240" t="n"/>
      <c r="U35" s="240" t="n"/>
      <c r="V35" s="15" t="inlineStr">
        <is>
          <t>Rarely communicates effectively. Ongoing issues.</t>
        </is>
      </c>
      <c r="W35" s="49" t="n"/>
      <c r="X35" s="49" t="n"/>
      <c r="Y35" s="49" t="n"/>
      <c r="Z35" s="49" t="n"/>
      <c r="AA35" s="49" t="n"/>
      <c r="AB35" s="51" t="n"/>
      <c r="AC35" s="51" t="n"/>
      <c r="AD35" s="52" t="n"/>
    </row>
    <row r="36">
      <c r="B36" s="220" t="n"/>
      <c r="C36" s="220" t="n"/>
      <c r="D36" s="220" t="n"/>
      <c r="E36" s="220" t="n"/>
      <c r="F36" s="220" t="n"/>
      <c r="G36" s="220" t="n"/>
      <c r="H36" s="220" t="n"/>
      <c r="I36" s="220" t="n"/>
      <c r="J36" s="220" t="n"/>
      <c r="K36" s="220" t="n"/>
      <c r="L36" s="220" t="n"/>
      <c r="M36" s="91" t="n"/>
      <c r="N36" s="91" t="n"/>
      <c r="O36" s="91" t="n"/>
      <c r="P36" s="220" t="n"/>
      <c r="Q36" s="220" t="n"/>
      <c r="R36" s="220" t="n"/>
      <c r="S36" s="220" t="n"/>
      <c r="T36" s="91" t="n"/>
      <c r="U36" s="91" t="n"/>
      <c r="V36" s="91" t="n"/>
      <c r="W36" s="91" t="n"/>
      <c r="X36" s="220" t="n"/>
      <c r="Y36" s="220" t="n"/>
      <c r="Z36" s="220" t="n"/>
      <c r="AA36" s="220" t="n"/>
      <c r="AB36" s="220" t="n"/>
      <c r="AC36" s="220" t="n"/>
      <c r="AD36" s="220" t="n"/>
    </row>
    <row r="37" ht="14.45" customHeight="1">
      <c r="B37" s="88" t="inlineStr">
        <is>
          <t>Client &amp; Referrer Satisfaction</t>
        </is>
      </c>
      <c r="C37" s="132" t="inlineStr">
        <is>
          <t>Jan</t>
        </is>
      </c>
      <c r="D37" s="132" t="inlineStr">
        <is>
          <t>Feb</t>
        </is>
      </c>
      <c r="E37" s="132" t="inlineStr">
        <is>
          <t>Mar</t>
        </is>
      </c>
      <c r="F37" s="132" t="inlineStr">
        <is>
          <t>Apr</t>
        </is>
      </c>
      <c r="G37" s="132" t="inlineStr">
        <is>
          <t>May</t>
        </is>
      </c>
      <c r="H37" s="132" t="inlineStr">
        <is>
          <t>June</t>
        </is>
      </c>
      <c r="I37" s="132" t="inlineStr">
        <is>
          <t>July</t>
        </is>
      </c>
      <c r="J37" s="132" t="inlineStr">
        <is>
          <t>Aug</t>
        </is>
      </c>
      <c r="K37" s="132" t="inlineStr">
        <is>
          <t>Sept</t>
        </is>
      </c>
      <c r="L37" s="132" t="inlineStr">
        <is>
          <t>Oct</t>
        </is>
      </c>
      <c r="M37" s="132" t="inlineStr">
        <is>
          <t>Nov</t>
        </is>
      </c>
      <c r="N37" s="132" t="inlineStr">
        <is>
          <t>Dec</t>
        </is>
      </c>
      <c r="O37" s="132" t="inlineStr">
        <is>
          <t>Average</t>
        </is>
      </c>
      <c r="P37" s="220" t="n"/>
      <c r="Q37" s="177" t="inlineStr">
        <is>
          <t>Capacity Building &amp; Use of NDIS Funding</t>
        </is>
      </c>
      <c r="R37" s="221" t="n"/>
      <c r="S37" s="221" t="n"/>
      <c r="T37" s="221" t="n"/>
      <c r="U37" s="222" t="n"/>
      <c r="V37" s="91" t="n"/>
      <c r="W37" s="91" t="n"/>
      <c r="X37" s="220" t="n"/>
      <c r="Y37" s="220" t="n"/>
      <c r="Z37" s="91" t="n"/>
      <c r="AA37" s="91" t="n"/>
      <c r="AB37" s="220" t="n"/>
      <c r="AC37" s="220" t="n"/>
      <c r="AD37" s="220" t="n"/>
    </row>
    <row r="38" ht="15" customHeight="1">
      <c r="B38" s="250" t="inlineStr">
        <is>
          <t>Josephine</t>
        </is>
      </c>
      <c r="C38" s="247" t="n"/>
      <c r="D38" s="247" t="n"/>
      <c r="E38" s="247" t="n"/>
      <c r="F38" s="247" t="n"/>
      <c r="G38" s="247" t="n"/>
      <c r="H38" s="247" t="n"/>
      <c r="I38" s="247" t="n"/>
      <c r="J38" s="247" t="n"/>
      <c r="K38" s="247" t="n"/>
      <c r="L38" s="247" t="n"/>
      <c r="M38" s="247" t="n"/>
      <c r="N38" s="247" t="n"/>
      <c r="O38" s="86">
        <f>IFERROR(AVERAGE(ReferrerEng_OT[[#This Row],[Jan]:[Dec]]),"")</f>
        <v/>
      </c>
      <c r="P38" s="220" t="n"/>
      <c r="Q38" s="183" t="inlineStr">
        <is>
          <t>Focus on follow-through and using funding in a way that supports outcomes.</t>
        </is>
      </c>
      <c r="R38" s="236" t="n"/>
      <c r="S38" s="236" t="n"/>
      <c r="T38" s="236" t="n"/>
      <c r="U38" s="231" t="n"/>
      <c r="V38" s="91" t="n"/>
      <c r="W38" s="91" t="n"/>
      <c r="X38" s="220" t="n"/>
      <c r="Y38" s="220" t="n"/>
      <c r="Z38" s="91" t="n"/>
      <c r="AA38" s="91" t="n"/>
      <c r="AB38" s="220" t="n"/>
      <c r="AC38" s="220" t="n"/>
      <c r="AD38" s="220" t="n"/>
    </row>
    <row r="39">
      <c r="B39" s="250" t="inlineStr">
        <is>
          <t>Caitlin</t>
        </is>
      </c>
      <c r="C39" s="254" t="n"/>
      <c r="D39" s="254" t="n"/>
      <c r="E39" s="254" t="n"/>
      <c r="F39" s="254" t="n"/>
      <c r="G39" s="254" t="n"/>
      <c r="H39" s="254" t="n"/>
      <c r="I39" s="254" t="n"/>
      <c r="J39" s="254" t="n"/>
      <c r="K39" s="254" t="n"/>
      <c r="L39" s="254" t="n"/>
      <c r="M39" s="254" t="n"/>
      <c r="N39" s="254" t="n"/>
      <c r="O39" s="86">
        <f>IFERROR(AVERAGE(ReferrerEng_OT[[#This Row],[Jan]:[Dec]]),"")</f>
        <v/>
      </c>
      <c r="P39" s="220" t="n"/>
      <c r="Q39" s="11" t="n">
        <v>5</v>
      </c>
      <c r="R39" s="12" t="n"/>
      <c r="S39" s="181" t="inlineStr">
        <is>
          <t>Excellent</t>
        </is>
      </c>
      <c r="T39" s="236" t="n"/>
      <c r="U39" s="236" t="n"/>
      <c r="V39" s="11" t="inlineStr">
        <is>
          <t>Delivers meaningful follow-up aligned with recommendations. NDIS funding well utilised.</t>
        </is>
      </c>
      <c r="W39" s="44" t="n"/>
      <c r="X39" s="46" t="n"/>
      <c r="Y39" s="46" t="n"/>
      <c r="Z39" s="44" t="n"/>
      <c r="AA39" s="44" t="n"/>
      <c r="AB39" s="46" t="n"/>
      <c r="AC39" s="46" t="n"/>
      <c r="AD39" s="47" t="n"/>
    </row>
    <row r="40">
      <c r="B40" s="250" t="inlineStr">
        <is>
          <t>Charlotte</t>
        </is>
      </c>
      <c r="C40" s="247" t="n"/>
      <c r="D40" s="247" t="n"/>
      <c r="E40" s="247" t="n"/>
      <c r="F40" s="247" t="n"/>
      <c r="G40" s="247" t="n"/>
      <c r="H40" s="247" t="n"/>
      <c r="I40" s="247" t="n"/>
      <c r="J40" s="247" t="n"/>
      <c r="K40" s="247" t="n"/>
      <c r="L40" s="247" t="n"/>
      <c r="M40" s="247" t="n"/>
      <c r="N40" s="247" t="n"/>
      <c r="O40" s="86">
        <f>IFERROR(AVERAGE(ReferrerEng_OT[[#This Row],[Jan]:[Dec]]),"")</f>
        <v/>
      </c>
      <c r="P40" s="220" t="n"/>
      <c r="Q40" s="13" t="n">
        <v>4</v>
      </c>
      <c r="R40" s="14" t="n"/>
      <c r="S40" s="192" t="inlineStr">
        <is>
          <t>Very Good</t>
        </is>
      </c>
      <c r="V40" s="13" t="inlineStr">
        <is>
          <t>Follows through on most recommendations. Good use of funds.</t>
        </is>
      </c>
      <c r="W40" s="91" t="n"/>
      <c r="X40" s="220" t="n"/>
      <c r="Y40" s="220" t="n"/>
      <c r="Z40" s="91" t="n"/>
      <c r="AA40" s="91" t="n"/>
      <c r="AB40" s="220" t="n"/>
      <c r="AC40" s="220" t="n"/>
      <c r="AD40" s="48" t="n"/>
    </row>
    <row r="41">
      <c r="B41" s="250" t="inlineStr">
        <is>
          <t>Isabella</t>
        </is>
      </c>
      <c r="C41" s="247" t="n"/>
      <c r="D41" s="247" t="n"/>
      <c r="E41" s="247" t="n"/>
      <c r="F41" s="247" t="n"/>
      <c r="G41" s="247" t="n"/>
      <c r="H41" s="247" t="n"/>
      <c r="I41" s="247" t="n"/>
      <c r="J41" s="247" t="n"/>
      <c r="K41" s="247" t="n"/>
      <c r="L41" s="247" t="n"/>
      <c r="M41" s="247" t="n"/>
      <c r="N41" s="247" t="n"/>
      <c r="O41" s="126">
        <f>IFERROR(AVERAGE(ReferrerEng_OT[[#This Row],[Jan]:[Dec]]),"")</f>
        <v/>
      </c>
      <c r="P41" s="220" t="n"/>
      <c r="Q41" s="13" t="n">
        <v>3</v>
      </c>
      <c r="R41" s="14" t="n"/>
      <c r="S41" s="185" t="inlineStr">
        <is>
          <t>In Progress</t>
        </is>
      </c>
      <c r="V41" s="13" t="inlineStr">
        <is>
          <t>Some follow-up, but some opportunities missed.</t>
        </is>
      </c>
      <c r="W41" s="91" t="n"/>
      <c r="X41" s="220" t="n"/>
      <c r="Y41" s="220" t="n"/>
      <c r="Z41" s="91" t="n"/>
      <c r="AA41" s="91" t="n"/>
      <c r="AB41" s="220" t="n"/>
      <c r="AC41" s="220" t="n"/>
      <c r="AD41" s="48" t="n"/>
    </row>
    <row r="42">
      <c r="B42" s="250" t="inlineStr">
        <is>
          <t>Lynn</t>
        </is>
      </c>
      <c r="C42" s="247" t="n"/>
      <c r="D42" s="247" t="n"/>
      <c r="E42" s="247" t="n"/>
      <c r="F42" s="247" t="n"/>
      <c r="G42" s="247" t="n"/>
      <c r="H42" s="247" t="n"/>
      <c r="I42" s="247" t="n"/>
      <c r="J42" s="247" t="n"/>
      <c r="K42" s="247" t="n"/>
      <c r="L42" s="247" t="n"/>
      <c r="M42" s="247" t="n"/>
      <c r="N42" s="247" t="n"/>
      <c r="O42" s="126">
        <f>IFERROR(AVERAGE(ReferrerEng_OT[[#This Row],[Jan]:[Dec]]),"")</f>
        <v/>
      </c>
      <c r="P42" s="220" t="n"/>
      <c r="Q42" s="13" t="n">
        <v>2</v>
      </c>
      <c r="R42" s="14" t="n"/>
      <c r="S42" s="182" t="inlineStr">
        <is>
          <t>Needs Improvement</t>
        </is>
      </c>
      <c r="V42" s="13" t="inlineStr">
        <is>
          <t>Often doesn’t complete follow-up. Funding underused.</t>
        </is>
      </c>
      <c r="W42" s="91" t="n"/>
      <c r="X42" s="220" t="n"/>
      <c r="Y42" s="220" t="n"/>
      <c r="Z42" s="91" t="n"/>
      <c r="AA42" s="91" t="n"/>
      <c r="AB42" s="220" t="n"/>
      <c r="AC42" s="220" t="n"/>
      <c r="AD42" s="48" t="n"/>
    </row>
    <row r="43">
      <c r="B43" s="250" t="inlineStr">
        <is>
          <t>Portia</t>
        </is>
      </c>
      <c r="C43" s="247" t="n"/>
      <c r="D43" s="247" t="n"/>
      <c r="E43" s="247" t="n"/>
      <c r="F43" s="247" t="n"/>
      <c r="G43" s="247" t="n"/>
      <c r="H43" s="247" t="n"/>
      <c r="I43" s="247" t="n"/>
      <c r="J43" s="247" t="n"/>
      <c r="K43" s="247" t="n"/>
      <c r="L43" s="247" t="n"/>
      <c r="M43" s="247" t="n"/>
      <c r="N43" s="247" t="n"/>
      <c r="O43" s="126">
        <f>IFERROR(AVERAGE(ReferrerEng_OT[[#This Row],[Jan]:[Dec]]),"")</f>
        <v/>
      </c>
      <c r="P43" s="220" t="n"/>
      <c r="Q43" s="15" t="n">
        <v>1</v>
      </c>
      <c r="R43" s="16" t="n"/>
      <c r="S43" s="184" t="inlineStr">
        <is>
          <t>Unsatisfactory</t>
        </is>
      </c>
      <c r="T43" s="240" t="n"/>
      <c r="U43" s="240" t="n"/>
      <c r="V43" s="15" t="inlineStr">
        <is>
          <t>Rarely follows through. Consistently underutilised funding.</t>
        </is>
      </c>
      <c r="W43" s="49" t="n"/>
      <c r="X43" s="49" t="n"/>
      <c r="Y43" s="49" t="n"/>
      <c r="Z43" s="49" t="n"/>
      <c r="AA43" s="49" t="n"/>
      <c r="AB43" s="51" t="n"/>
      <c r="AC43" s="51" t="n"/>
      <c r="AD43" s="52" t="n"/>
    </row>
    <row r="44">
      <c r="B44" s="250" t="inlineStr">
        <is>
          <t>Bao</t>
        </is>
      </c>
      <c r="C44" s="247" t="n"/>
      <c r="D44" s="247" t="n"/>
      <c r="E44" s="247" t="n"/>
      <c r="F44" s="247" t="n"/>
      <c r="G44" s="247" t="n"/>
      <c r="H44" s="247" t="n"/>
      <c r="I44" s="247" t="n"/>
      <c r="J44" s="247" t="n"/>
      <c r="K44" s="247" t="n"/>
      <c r="L44" s="247" t="n"/>
      <c r="M44" s="247" t="n"/>
      <c r="N44" s="247" t="n"/>
      <c r="O44" s="126">
        <f>IFERROR(AVERAGE(ReferrerEng_OT[[#This Row],[Jan]:[Dec]]),"")</f>
        <v/>
      </c>
      <c r="P44" s="220" t="n"/>
      <c r="Q44" s="220" t="n"/>
      <c r="R44" s="220" t="n"/>
      <c r="S44" s="220" t="n"/>
      <c r="T44" s="220" t="n"/>
      <c r="U44" s="220" t="n"/>
      <c r="V44" s="91" t="n"/>
      <c r="W44" s="91" t="n"/>
      <c r="X44" s="220" t="n"/>
      <c r="Y44" s="220" t="n"/>
      <c r="Z44" s="220" t="n"/>
      <c r="AA44" s="220" t="n"/>
      <c r="AB44" s="220" t="n"/>
      <c r="AC44" s="220" t="n"/>
      <c r="AD44" s="220" t="n"/>
    </row>
    <row r="45" ht="15" customHeight="1">
      <c r="B45" s="260" t="inlineStr">
        <is>
          <t>Jiayee</t>
        </is>
      </c>
      <c r="C45" s="261" t="n"/>
      <c r="D45" s="261" t="n"/>
      <c r="E45" s="261" t="n"/>
      <c r="F45" s="261" t="n"/>
      <c r="G45" s="261" t="n"/>
      <c r="H45" s="261" t="n"/>
      <c r="I45" s="261" t="n"/>
      <c r="J45" s="261" t="n"/>
      <c r="K45" s="261" t="n"/>
      <c r="L45" s="261" t="n"/>
      <c r="M45" s="261" t="n"/>
      <c r="N45" s="261" t="n"/>
      <c r="O45" s="86">
        <f>IFERROR(AVERAGE(ReferrerEng_OT[[#This Row],[Jan]:[Dec]]),"")</f>
        <v/>
      </c>
      <c r="P45" s="220" t="n"/>
      <c r="Q45" s="177" t="inlineStr">
        <is>
          <t>Team Contribution, Attitude, Clinical Growth &amp; Cross collab with physios</t>
        </is>
      </c>
      <c r="R45" s="221" t="n"/>
      <c r="S45" s="221" t="n"/>
      <c r="T45" s="221" t="n"/>
      <c r="U45" s="222" t="n"/>
      <c r="V45" s="91" t="n"/>
      <c r="W45" s="91" t="n"/>
      <c r="X45" s="91" t="n"/>
      <c r="Y45" s="91" t="n"/>
      <c r="Z45" s="91" t="n"/>
      <c r="AA45" s="91" t="n"/>
      <c r="AB45" s="220" t="n"/>
      <c r="AC45" s="220" t="n"/>
      <c r="AD45" s="220" t="n"/>
    </row>
    <row r="46" ht="15" customHeight="1">
      <c r="B46" s="260" t="inlineStr">
        <is>
          <t>Rainie</t>
        </is>
      </c>
      <c r="C46" s="261" t="n"/>
      <c r="D46" s="261" t="n"/>
      <c r="E46" s="261" t="n"/>
      <c r="F46" s="261" t="n"/>
      <c r="G46" s="261" t="n"/>
      <c r="H46" s="261" t="n"/>
      <c r="I46" s="261" t="n"/>
      <c r="J46" s="261" t="n"/>
      <c r="K46" s="261" t="n"/>
      <c r="L46" s="261" t="n"/>
      <c r="M46" s="261" t="n"/>
      <c r="N46" s="261" t="n"/>
      <c r="O46" s="86">
        <f>IFERROR(AVERAGE(ReferrerEng_OT[[#This Row],[Jan]:[Dec]]),"")</f>
        <v/>
      </c>
      <c r="P46" s="220" t="n"/>
      <c r="Q46" s="198" t="inlineStr">
        <is>
          <t>Looks at teamwork, attitude, and efforts to 
grow clinically.</t>
        </is>
      </c>
      <c r="R46" s="236" t="n"/>
      <c r="S46" s="236" t="n"/>
      <c r="T46" s="236" t="n"/>
      <c r="U46" s="231" t="n"/>
      <c r="V46" s="91" t="n"/>
      <c r="W46" s="91" t="n"/>
      <c r="X46" s="91" t="n"/>
      <c r="Y46" s="91" t="n"/>
      <c r="Z46" s="91" t="n"/>
      <c r="AA46" s="91" t="n"/>
      <c r="AB46" s="220" t="n"/>
      <c r="AC46" s="220" t="n"/>
      <c r="AD46" s="220" t="n"/>
    </row>
    <row r="47" ht="15" customHeight="1">
      <c r="B47" s="262" t="inlineStr">
        <is>
          <t>Sabrina</t>
        </is>
      </c>
      <c r="C47" s="261" t="n"/>
      <c r="D47" s="261" t="n"/>
      <c r="E47" s="261" t="n"/>
      <c r="F47" s="261" t="n"/>
      <c r="G47" s="261" t="n"/>
      <c r="H47" s="261" t="n"/>
      <c r="I47" s="261" t="n"/>
      <c r="J47" s="261" t="n"/>
      <c r="K47" s="261" t="n"/>
      <c r="L47" s="261" t="n"/>
      <c r="M47" s="261" t="n"/>
      <c r="N47" s="261" t="n"/>
      <c r="O47" s="86">
        <f>IFERROR(AVERAGE(ReferrerEng_OT[[#This Row],[Jan]:[Dec]]),"")</f>
        <v/>
      </c>
      <c r="P47" s="220" t="n"/>
      <c r="Q47" s="11" t="n">
        <v>5</v>
      </c>
      <c r="R47" s="12" t="n"/>
      <c r="S47" s="212" t="inlineStr">
        <is>
          <t>Excellent</t>
        </is>
      </c>
      <c r="T47" s="236" t="n"/>
      <c r="U47" s="237" t="n"/>
      <c r="V47" s="11" t="inlineStr">
        <is>
          <t>Supports others, shows initiative, always looking to learn and grow. Proactively collaborates with physio team (internal referrals, MDT)</t>
        </is>
      </c>
      <c r="W47" s="44" t="n"/>
      <c r="X47" s="44" t="n"/>
      <c r="Y47" s="44" t="n"/>
      <c r="Z47" s="44" t="n"/>
      <c r="AA47" s="44" t="n"/>
      <c r="AB47" s="46" t="n"/>
      <c r="AC47" s="46" t="n"/>
      <c r="AD47" s="47" t="n"/>
    </row>
    <row r="48" ht="15" customHeight="1">
      <c r="B48" s="220" t="n"/>
      <c r="C48" s="220" t="n"/>
      <c r="D48" s="220" t="n"/>
      <c r="E48" s="220" t="n"/>
      <c r="F48" s="220" t="n"/>
      <c r="G48" s="220" t="n"/>
      <c r="H48" s="220" t="n"/>
      <c r="I48" s="220" t="n"/>
      <c r="J48" s="220" t="n"/>
      <c r="K48" s="220" t="n"/>
      <c r="L48" s="220" t="n"/>
      <c r="M48" s="220" t="n"/>
      <c r="N48" s="220" t="n"/>
      <c r="O48" s="220" t="n"/>
      <c r="P48" s="220" t="n"/>
      <c r="Q48" s="13" t="n">
        <v>4</v>
      </c>
      <c r="R48" s="14" t="n"/>
      <c r="S48" s="213" t="inlineStr">
        <is>
          <t>Very Good</t>
        </is>
      </c>
      <c r="U48" s="226" t="n"/>
      <c r="V48" s="13" t="inlineStr">
        <is>
          <t xml:space="preserve">Positive contributor, engaged in learning, willing to collaborates across MDT team, acts on feedback. </t>
        </is>
      </c>
      <c r="W48" s="91" t="n"/>
      <c r="X48" s="91" t="n"/>
      <c r="Y48" s="91" t="n"/>
      <c r="Z48" s="91" t="n"/>
      <c r="AA48" s="91" t="n"/>
      <c r="AB48" s="220" t="n"/>
      <c r="AC48" s="220" t="n"/>
      <c r="AD48" s="48" t="n"/>
    </row>
    <row r="49" ht="15" customHeight="1">
      <c r="B49" s="88" t="inlineStr">
        <is>
          <t>Capacity Building &amp; Use of NDIS Funding</t>
        </is>
      </c>
      <c r="C49" s="132" t="inlineStr">
        <is>
          <t>Jan</t>
        </is>
      </c>
      <c r="D49" s="132" t="inlineStr">
        <is>
          <t>Feb</t>
        </is>
      </c>
      <c r="E49" s="132" t="inlineStr">
        <is>
          <t>Mar</t>
        </is>
      </c>
      <c r="F49" s="132" t="inlineStr">
        <is>
          <t>Apr</t>
        </is>
      </c>
      <c r="G49" s="132" t="inlineStr">
        <is>
          <t>May</t>
        </is>
      </c>
      <c r="H49" s="132" t="inlineStr">
        <is>
          <t>June</t>
        </is>
      </c>
      <c r="I49" s="132" t="inlineStr">
        <is>
          <t>July</t>
        </is>
      </c>
      <c r="J49" s="132" t="inlineStr">
        <is>
          <t>Aug</t>
        </is>
      </c>
      <c r="K49" s="132" t="inlineStr">
        <is>
          <t>Sept</t>
        </is>
      </c>
      <c r="L49" s="132" t="inlineStr">
        <is>
          <t>Oct</t>
        </is>
      </c>
      <c r="M49" s="132" t="inlineStr">
        <is>
          <t>Nov</t>
        </is>
      </c>
      <c r="N49" s="132" t="inlineStr">
        <is>
          <t>Dec</t>
        </is>
      </c>
      <c r="O49" s="132" t="inlineStr">
        <is>
          <t>Average</t>
        </is>
      </c>
      <c r="P49" s="220" t="n"/>
      <c r="Q49" s="13" t="n">
        <v>3</v>
      </c>
      <c r="R49" s="14" t="n"/>
      <c r="S49" s="208" t="inlineStr">
        <is>
          <t>In Progress</t>
        </is>
      </c>
      <c r="U49" s="226" t="n"/>
      <c r="V49" s="13" t="inlineStr">
        <is>
          <t xml:space="preserve">Participates when prompted. Development is steady but passive. Minimal collab with physios. </t>
        </is>
      </c>
      <c r="W49" s="91" t="n"/>
      <c r="X49" s="91" t="n"/>
      <c r="Y49" s="91" t="n"/>
      <c r="Z49" s="91" t="n"/>
      <c r="AA49" s="91" t="n"/>
      <c r="AB49" s="220" t="n"/>
      <c r="AC49" s="220" t="n"/>
      <c r="AD49" s="48" t="n"/>
    </row>
    <row r="50" ht="15" customHeight="1">
      <c r="B50" s="250" t="inlineStr">
        <is>
          <t>Josephine</t>
        </is>
      </c>
      <c r="C50" s="247" t="n"/>
      <c r="D50" s="247" t="n"/>
      <c r="E50" s="247" t="n"/>
      <c r="F50" s="247" t="n"/>
      <c r="G50" s="247" t="n"/>
      <c r="H50" s="247" t="n"/>
      <c r="I50" s="247" t="n"/>
      <c r="J50" s="247" t="n"/>
      <c r="K50" s="247" t="n"/>
      <c r="L50" s="247" t="n"/>
      <c r="M50" s="247" t="n"/>
      <c r="N50" s="247" t="n"/>
      <c r="O50" s="86">
        <f>IFERROR(AVERAGE(Capacity_OT[[#This Row],[Jan]:[Dec]]),"")</f>
        <v/>
      </c>
      <c r="P50" s="220" t="n"/>
      <c r="Q50" s="13" t="n">
        <v>2</v>
      </c>
      <c r="R50" s="14" t="n"/>
      <c r="S50" s="210" t="inlineStr">
        <is>
          <t>Needs Improvement</t>
        </is>
      </c>
      <c r="U50" s="226" t="n"/>
      <c r="V50" s="13" t="inlineStr">
        <is>
          <t xml:space="preserve">Not very engaged. Limited engagement. </t>
        </is>
      </c>
      <c r="W50" s="91" t="n"/>
      <c r="X50" s="91" t="n"/>
      <c r="Y50" s="91" t="n"/>
      <c r="Z50" s="91" t="n"/>
      <c r="AA50" s="91" t="n"/>
      <c r="AB50" s="220" t="n"/>
      <c r="AC50" s="220" t="n"/>
      <c r="AD50" s="48" t="n"/>
    </row>
    <row r="51" ht="15" customHeight="1">
      <c r="B51" s="250" t="inlineStr">
        <is>
          <t>Caitlin</t>
        </is>
      </c>
      <c r="C51" s="254" t="n"/>
      <c r="D51" s="254" t="n"/>
      <c r="E51" s="254" t="n"/>
      <c r="F51" s="254" t="n"/>
      <c r="G51" s="254" t="n"/>
      <c r="H51" s="254" t="n"/>
      <c r="I51" s="254" t="n"/>
      <c r="J51" s="254" t="n"/>
      <c r="K51" s="254" t="n"/>
      <c r="L51" s="254" t="n"/>
      <c r="M51" s="254" t="n"/>
      <c r="N51" s="254" t="n"/>
      <c r="O51" s="86">
        <f>IFERROR(AVERAGE(Capacity_OT[[#This Row],[Jan]:[Dec]]),"")</f>
        <v/>
      </c>
      <c r="P51" s="220" t="n"/>
      <c r="Q51" s="15" t="n">
        <v>1</v>
      </c>
      <c r="R51" s="16" t="n"/>
      <c r="S51" s="184" t="inlineStr">
        <is>
          <t>Unsatisfactory</t>
        </is>
      </c>
      <c r="T51" s="240" t="n"/>
      <c r="U51" s="240" t="n"/>
      <c r="V51" s="15" t="inlineStr">
        <is>
          <t xml:space="preserve">Disengaged, avoids feedback, and collab opportunities. </t>
        </is>
      </c>
      <c r="W51" s="49" t="n"/>
      <c r="X51" s="49" t="n"/>
      <c r="Y51" s="49" t="n"/>
      <c r="Z51" s="49" t="n"/>
      <c r="AA51" s="49" t="n"/>
      <c r="AB51" s="51" t="n"/>
      <c r="AC51" s="51" t="n"/>
      <c r="AD51" s="52" t="n"/>
    </row>
    <row r="52" ht="15" customHeight="1">
      <c r="B52" s="250" t="inlineStr">
        <is>
          <t>Charlotte</t>
        </is>
      </c>
      <c r="C52" s="247" t="n"/>
      <c r="D52" s="247" t="n"/>
      <c r="E52" s="247" t="n"/>
      <c r="F52" s="247" t="n"/>
      <c r="G52" s="247" t="n"/>
      <c r="H52" s="247" t="n"/>
      <c r="I52" s="247" t="n"/>
      <c r="J52" s="247" t="n"/>
      <c r="K52" s="247" t="n"/>
      <c r="L52" s="247" t="n"/>
      <c r="M52" s="247" t="n"/>
      <c r="N52" s="247" t="n"/>
      <c r="O52" s="86">
        <f>IFERROR(AVERAGE(Capacity_OT[[#This Row],[Jan]:[Dec]]),"")</f>
        <v/>
      </c>
      <c r="P52" s="220" t="n"/>
      <c r="Q52" s="220" t="n"/>
      <c r="R52" s="220" t="n"/>
      <c r="S52" s="220" t="n"/>
      <c r="T52" s="220" t="n"/>
      <c r="U52" s="91" t="n"/>
      <c r="V52" s="91" t="n"/>
      <c r="W52" s="91" t="n"/>
      <c r="X52" s="220" t="n"/>
      <c r="Y52" s="220" t="n"/>
      <c r="Z52" s="220" t="n"/>
      <c r="AA52" s="220" t="n"/>
      <c r="AB52" s="220" t="n"/>
      <c r="AC52" s="220" t="n"/>
      <c r="AD52" s="220" t="n"/>
    </row>
    <row r="53" ht="15" customHeight="1">
      <c r="B53" s="250" t="inlineStr">
        <is>
          <t>Isabella</t>
        </is>
      </c>
      <c r="C53" s="247" t="n"/>
      <c r="D53" s="247" t="n"/>
      <c r="E53" s="247" t="n"/>
      <c r="F53" s="247" t="n"/>
      <c r="G53" s="247" t="n"/>
      <c r="H53" s="247" t="n"/>
      <c r="I53" s="247" t="n"/>
      <c r="J53" s="247" t="n"/>
      <c r="K53" s="247" t="n"/>
      <c r="L53" s="247" t="n"/>
      <c r="M53" s="247" t="n"/>
      <c r="N53" s="247" t="n"/>
      <c r="O53" s="126">
        <f>IFERROR(AVERAGE(Capacity_OT[[#This Row],[Jan]:[Dec]]),"")</f>
        <v/>
      </c>
      <c r="P53" s="220" t="n"/>
      <c r="Q53" s="220" t="n"/>
      <c r="R53" s="220" t="n"/>
      <c r="S53" s="220" t="n"/>
      <c r="T53" s="220" t="n"/>
      <c r="U53" s="91" t="n"/>
      <c r="V53" s="91" t="n"/>
      <c r="W53" s="91" t="n"/>
      <c r="X53" s="220" t="n"/>
      <c r="Y53" s="220" t="n"/>
      <c r="Z53" s="220" t="n"/>
      <c r="AA53" s="220" t="n"/>
      <c r="AB53" s="220" t="n"/>
      <c r="AC53" s="220" t="n"/>
      <c r="AD53" s="220" t="n"/>
    </row>
    <row r="54" ht="15" customHeight="1">
      <c r="B54" s="250" t="inlineStr">
        <is>
          <t>Lynn</t>
        </is>
      </c>
      <c r="C54" s="247" t="n"/>
      <c r="D54" s="247" t="n"/>
      <c r="E54" s="247" t="n"/>
      <c r="F54" s="247" t="n"/>
      <c r="G54" s="247" t="n"/>
      <c r="H54" s="247" t="n"/>
      <c r="I54" s="247" t="n"/>
      <c r="J54" s="247" t="n"/>
      <c r="K54" s="247" t="n"/>
      <c r="L54" s="247" t="n"/>
      <c r="M54" s="247" t="n"/>
      <c r="N54" s="247" t="n"/>
      <c r="O54" s="126">
        <f>IFERROR(AVERAGE(Capacity_OT[[#This Row],[Jan]:[Dec]]),"")</f>
        <v/>
      </c>
      <c r="P54" s="91" t="n"/>
      <c r="Q54" s="91" t="n"/>
      <c r="R54" s="91" t="n"/>
      <c r="S54" s="91" t="n"/>
      <c r="T54" s="91" t="n"/>
      <c r="U54" s="91" t="n"/>
      <c r="V54" s="91" t="n"/>
      <c r="W54" s="91" t="n"/>
      <c r="X54" s="220" t="n"/>
      <c r="Y54" s="220" t="n"/>
      <c r="Z54" s="220" t="n"/>
      <c r="AA54" s="220" t="n"/>
      <c r="AB54" s="220" t="n"/>
      <c r="AC54" s="220" t="n"/>
      <c r="AD54" s="220" t="n"/>
    </row>
    <row r="55" ht="15" customHeight="1">
      <c r="B55" s="250" t="inlineStr">
        <is>
          <t>Portia</t>
        </is>
      </c>
      <c r="C55" s="247" t="n"/>
      <c r="D55" s="247" t="n"/>
      <c r="E55" s="247" t="n"/>
      <c r="F55" s="247" t="n"/>
      <c r="G55" s="247" t="n"/>
      <c r="H55" s="247" t="n"/>
      <c r="I55" s="247" t="n"/>
      <c r="J55" s="247" t="n"/>
      <c r="K55" s="247" t="n"/>
      <c r="L55" s="247" t="n"/>
      <c r="M55" s="247" t="n"/>
      <c r="N55" s="247" t="n"/>
      <c r="O55" s="126">
        <f>IFERROR(AVERAGE(Capacity_OT[[#This Row],[Jan]:[Dec]]),"")</f>
        <v/>
      </c>
      <c r="P55" s="220" t="n"/>
      <c r="Q55" s="220" t="n"/>
      <c r="R55" s="220" t="n"/>
      <c r="S55" s="220" t="n"/>
      <c r="T55" s="220" t="n"/>
      <c r="U55" s="220" t="n"/>
      <c r="V55" s="220" t="n"/>
      <c r="W55" s="220" t="n"/>
      <c r="X55" s="220" t="n"/>
      <c r="Y55" s="220" t="n"/>
      <c r="Z55" s="220" t="n"/>
      <c r="AA55" s="220" t="n"/>
      <c r="AB55" s="220" t="n"/>
      <c r="AC55" s="220" t="n"/>
      <c r="AD55" s="220" t="n"/>
    </row>
    <row r="56" ht="15" customHeight="1">
      <c r="B56" s="250" t="inlineStr">
        <is>
          <t>Bao</t>
        </is>
      </c>
      <c r="C56" s="247" t="n"/>
      <c r="D56" s="247" t="n"/>
      <c r="E56" s="247" t="n"/>
      <c r="F56" s="247" t="n"/>
      <c r="G56" s="247" t="n"/>
      <c r="H56" s="247" t="n"/>
      <c r="I56" s="247" t="n"/>
      <c r="J56" s="247" t="n"/>
      <c r="K56" s="247" t="n"/>
      <c r="L56" s="247" t="n"/>
      <c r="M56" s="247" t="n"/>
      <c r="N56" s="247" t="n"/>
      <c r="O56" s="86">
        <f>IFERROR(AVERAGE(Capacity_OT[[#This Row],[Jan]:[Dec]]),"")</f>
        <v/>
      </c>
      <c r="P56" s="220" t="n"/>
      <c r="Q56" s="220" t="n"/>
      <c r="R56" s="220" t="n"/>
      <c r="S56" s="220" t="n"/>
      <c r="T56" s="220" t="n"/>
      <c r="U56" s="220" t="n"/>
      <c r="V56" s="220" t="n"/>
      <c r="W56" s="220" t="n"/>
      <c r="X56" s="220" t="n"/>
      <c r="Y56" s="220" t="n"/>
      <c r="Z56" s="220" t="n"/>
      <c r="AA56" s="220" t="n"/>
      <c r="AB56" s="220" t="n"/>
      <c r="AC56" s="220" t="n"/>
      <c r="AD56" s="220" t="n"/>
    </row>
    <row r="57" ht="15" customHeight="1">
      <c r="B57" s="260" t="inlineStr">
        <is>
          <t>Jiayee</t>
        </is>
      </c>
      <c r="C57" s="261" t="n"/>
      <c r="D57" s="261" t="n"/>
      <c r="E57" s="261" t="n"/>
      <c r="F57" s="261" t="n"/>
      <c r="G57" s="261" t="n"/>
      <c r="H57" s="261" t="n"/>
      <c r="I57" s="261" t="n"/>
      <c r="J57" s="261" t="n"/>
      <c r="K57" s="261" t="n"/>
      <c r="L57" s="261" t="n"/>
      <c r="M57" s="261" t="n"/>
      <c r="N57" s="261" t="n"/>
      <c r="O57" s="126">
        <f>IFERROR(AVERAGE(Capacity_OT[[#This Row],[Jan]:[Dec]]),"")</f>
        <v/>
      </c>
      <c r="P57" s="220" t="n"/>
      <c r="Q57" s="220" t="n"/>
      <c r="R57" s="220" t="n"/>
      <c r="S57" s="220" t="n"/>
      <c r="T57" s="220" t="n"/>
      <c r="U57" s="220" t="n"/>
      <c r="V57" s="220" t="n"/>
      <c r="W57" s="220" t="n"/>
      <c r="X57" s="220" t="n"/>
      <c r="Y57" s="220" t="n"/>
      <c r="Z57" s="220" t="n"/>
      <c r="AA57" s="220" t="n"/>
      <c r="AB57" s="220" t="n"/>
      <c r="AC57" s="220" t="n"/>
      <c r="AD57" s="220" t="n"/>
    </row>
    <row r="58" ht="15" customHeight="1">
      <c r="B58" s="260" t="inlineStr">
        <is>
          <t>Rainie</t>
        </is>
      </c>
      <c r="C58" s="261" t="n"/>
      <c r="D58" s="261" t="n"/>
      <c r="E58" s="261" t="n"/>
      <c r="F58" s="261" t="n"/>
      <c r="G58" s="261" t="n"/>
      <c r="H58" s="261" t="n"/>
      <c r="I58" s="261" t="n"/>
      <c r="J58" s="261" t="n"/>
      <c r="K58" s="261" t="n"/>
      <c r="L58" s="261" t="n"/>
      <c r="M58" s="261" t="n"/>
      <c r="N58" s="261" t="n"/>
      <c r="O58" s="86">
        <f>IFERROR(AVERAGE(Capacity_OT[[#This Row],[Jan]:[Dec]]),"")</f>
        <v/>
      </c>
      <c r="P58" s="220" t="n"/>
      <c r="Q58" s="220" t="n"/>
      <c r="R58" s="220" t="n"/>
      <c r="S58" s="220" t="n"/>
      <c r="T58" s="220" t="n"/>
      <c r="U58" s="220" t="n"/>
      <c r="V58" s="220" t="n"/>
      <c r="W58" s="220" t="n"/>
      <c r="X58" s="220" t="n"/>
      <c r="Y58" s="220" t="n"/>
      <c r="Z58" s="220" t="n"/>
      <c r="AA58" s="220" t="n"/>
      <c r="AB58" s="220" t="n"/>
      <c r="AC58" s="220" t="n"/>
      <c r="AD58" s="220" t="n"/>
    </row>
    <row r="59" ht="15" customHeight="1">
      <c r="B59" s="262" t="inlineStr">
        <is>
          <t>Sabrina</t>
        </is>
      </c>
      <c r="C59" s="261" t="n"/>
      <c r="D59" s="261" t="n"/>
      <c r="E59" s="261" t="n"/>
      <c r="F59" s="261" t="n"/>
      <c r="G59" s="261" t="n"/>
      <c r="H59" s="261" t="n"/>
      <c r="I59" s="261" t="n"/>
      <c r="J59" s="261" t="n"/>
      <c r="K59" s="261" t="n"/>
      <c r="L59" s="261" t="n"/>
      <c r="M59" s="261" t="n"/>
      <c r="N59" s="261" t="n"/>
      <c r="O59" s="86">
        <f>IFERROR(AVERAGE(Capacity_OT[[#This Row],[Jan]:[Dec]]),"")</f>
        <v/>
      </c>
      <c r="P59" s="220" t="n"/>
      <c r="Q59" s="220" t="n"/>
      <c r="R59" s="220" t="n"/>
      <c r="S59" s="220" t="n"/>
      <c r="T59" s="220" t="n"/>
      <c r="U59" s="220" t="n"/>
      <c r="V59" s="220" t="n"/>
      <c r="W59" s="220" t="n"/>
      <c r="X59" s="220" t="n"/>
      <c r="Y59" s="220" t="n"/>
      <c r="Z59" s="220" t="n"/>
      <c r="AA59" s="220" t="n"/>
      <c r="AB59" s="220" t="n"/>
      <c r="AC59" s="220" t="n"/>
      <c r="AD59" s="220" t="n"/>
    </row>
    <row r="60" ht="15" customHeight="1">
      <c r="B60" s="220" t="n"/>
      <c r="C60" s="220" t="n"/>
      <c r="D60" s="220" t="n"/>
      <c r="E60" s="220" t="n"/>
      <c r="F60" s="220" t="n"/>
      <c r="G60" s="220" t="n"/>
      <c r="H60" s="220" t="n"/>
      <c r="I60" s="220" t="n"/>
      <c r="J60" s="220" t="n"/>
      <c r="K60" s="220" t="n"/>
      <c r="L60" s="220" t="n"/>
      <c r="M60" s="220" t="n"/>
      <c r="N60" s="220" t="n"/>
      <c r="O60" s="220" t="n"/>
      <c r="P60" s="220" t="n"/>
      <c r="Q60" s="220" t="n"/>
      <c r="R60" s="220" t="n"/>
      <c r="S60" s="220" t="n"/>
      <c r="T60" s="220" t="n"/>
      <c r="U60" s="220" t="n"/>
      <c r="V60" s="220" t="n"/>
      <c r="W60" s="220" t="n"/>
      <c r="X60" s="220" t="n"/>
      <c r="Y60" s="220" t="n"/>
      <c r="Z60" s="220" t="n"/>
      <c r="AA60" s="220" t="n"/>
      <c r="AB60" s="220" t="n"/>
      <c r="AC60" s="220" t="n"/>
      <c r="AD60" s="220" t="n"/>
    </row>
    <row r="61" ht="15" customHeight="1">
      <c r="B61" s="88" t="inlineStr">
        <is>
          <t>Team Contribution, Attitude &amp; Clinical Growth</t>
        </is>
      </c>
      <c r="C61" s="133" t="inlineStr">
        <is>
          <t>Jan</t>
        </is>
      </c>
      <c r="D61" s="133" t="inlineStr">
        <is>
          <t>Feb</t>
        </is>
      </c>
      <c r="E61" s="133" t="inlineStr">
        <is>
          <t>Mar</t>
        </is>
      </c>
      <c r="F61" s="133" t="inlineStr">
        <is>
          <t>Apr</t>
        </is>
      </c>
      <c r="G61" s="133" t="inlineStr">
        <is>
          <t>May</t>
        </is>
      </c>
      <c r="H61" s="133" t="inlineStr">
        <is>
          <t>June</t>
        </is>
      </c>
      <c r="I61" s="133" t="inlineStr">
        <is>
          <t>July</t>
        </is>
      </c>
      <c r="J61" s="133" t="inlineStr">
        <is>
          <t>Aug</t>
        </is>
      </c>
      <c r="K61" s="133" t="inlineStr">
        <is>
          <t>Sept</t>
        </is>
      </c>
      <c r="L61" s="133" t="inlineStr">
        <is>
          <t>Oct</t>
        </is>
      </c>
      <c r="M61" s="133" t="inlineStr">
        <is>
          <t>Nov</t>
        </is>
      </c>
      <c r="N61" s="133" t="inlineStr">
        <is>
          <t>Dec</t>
        </is>
      </c>
      <c r="O61" s="133" t="inlineStr">
        <is>
          <t>Average</t>
        </is>
      </c>
      <c r="P61" s="220" t="n"/>
      <c r="Q61" s="220" t="n"/>
      <c r="R61" s="220" t="n"/>
      <c r="S61" s="220" t="n"/>
      <c r="T61" s="220" t="n"/>
      <c r="U61" s="220" t="n"/>
      <c r="V61" s="220" t="n"/>
      <c r="W61" s="220" t="n"/>
      <c r="X61" s="220" t="n"/>
      <c r="Y61" s="220" t="n"/>
      <c r="Z61" s="220" t="n"/>
      <c r="AA61" s="220" t="n"/>
      <c r="AB61" s="220" t="n"/>
      <c r="AC61" s="220" t="n"/>
      <c r="AD61" s="220" t="n"/>
    </row>
    <row r="62" ht="15" customHeight="1">
      <c r="B62" s="250" t="inlineStr">
        <is>
          <t>Josephine</t>
        </is>
      </c>
      <c r="C62" s="247" t="n"/>
      <c r="D62" s="247" t="n"/>
      <c r="E62" s="247" t="n"/>
      <c r="F62" s="247" t="n"/>
      <c r="G62" s="247" t="n"/>
      <c r="H62" s="247" t="n"/>
      <c r="I62" s="247" t="n"/>
      <c r="J62" s="247" t="n"/>
      <c r="K62" s="247" t="n"/>
      <c r="L62" s="247" t="n"/>
      <c r="M62" s="247" t="n"/>
      <c r="N62" s="247" t="n"/>
      <c r="O62" s="86">
        <f>IFERROR(AVERAGE(Attitude_OT[[#This Row],[Jan]:[Dec]]),"")</f>
        <v/>
      </c>
      <c r="P62" s="220" t="n"/>
      <c r="Q62" s="220" t="n"/>
      <c r="R62" s="220" t="n"/>
      <c r="S62" s="220" t="n"/>
      <c r="T62" s="220" t="n"/>
      <c r="U62" s="220" t="n"/>
      <c r="V62" s="220" t="n"/>
      <c r="W62" s="220" t="n"/>
      <c r="X62" s="220" t="n"/>
      <c r="Y62" s="220" t="n"/>
      <c r="Z62" s="220" t="n"/>
      <c r="AA62" s="220" t="n"/>
      <c r="AB62" s="220" t="n"/>
      <c r="AC62" s="220" t="n"/>
      <c r="AD62" s="220" t="n"/>
    </row>
    <row r="63" ht="15" customHeight="1">
      <c r="B63" s="250" t="inlineStr">
        <is>
          <t>Caitlin</t>
        </is>
      </c>
      <c r="C63" s="254" t="n"/>
      <c r="D63" s="254" t="n"/>
      <c r="E63" s="254" t="n"/>
      <c r="F63" s="254" t="n"/>
      <c r="G63" s="254" t="n"/>
      <c r="H63" s="254" t="n"/>
      <c r="I63" s="254" t="n"/>
      <c r="J63" s="254" t="n"/>
      <c r="K63" s="254" t="n"/>
      <c r="L63" s="254" t="n"/>
      <c r="M63" s="254" t="n"/>
      <c r="N63" s="254" t="n"/>
      <c r="O63" s="86">
        <f>IFERROR(AVERAGE(Attitude_OT[[#This Row],[Jan]:[Dec]]),"")</f>
        <v/>
      </c>
      <c r="P63" s="220" t="n"/>
      <c r="Q63" s="220" t="n"/>
      <c r="R63" s="220" t="n"/>
      <c r="S63" s="220" t="n"/>
      <c r="T63" s="220" t="n"/>
      <c r="U63" s="220" t="n"/>
      <c r="V63" s="220" t="n"/>
      <c r="W63" s="220" t="n"/>
      <c r="X63" s="220" t="n"/>
      <c r="Y63" s="220" t="n"/>
      <c r="Z63" s="220" t="n"/>
      <c r="AA63" s="220" t="n"/>
      <c r="AB63" s="220" t="n"/>
      <c r="AC63" s="220" t="n"/>
      <c r="AD63" s="220" t="n"/>
    </row>
    <row r="64" ht="15" customHeight="1">
      <c r="B64" s="250" t="inlineStr">
        <is>
          <t>Charlotte</t>
        </is>
      </c>
      <c r="C64" s="254" t="n"/>
      <c r="D64" s="254" t="n"/>
      <c r="E64" s="254" t="n"/>
      <c r="F64" s="254" t="n"/>
      <c r="G64" s="254" t="n"/>
      <c r="H64" s="254" t="n"/>
      <c r="I64" s="254" t="n"/>
      <c r="J64" s="254" t="n"/>
      <c r="K64" s="254" t="n"/>
      <c r="L64" s="254" t="n"/>
      <c r="M64" s="254" t="n"/>
      <c r="N64" s="254" t="n"/>
      <c r="O64" s="126">
        <f>IFERROR(AVERAGE(Attitude_OT[[#This Row],[Jan]:[Dec]]),"")</f>
        <v/>
      </c>
      <c r="P64" s="220" t="n"/>
      <c r="Q64" s="220" t="n"/>
      <c r="R64" s="220" t="n"/>
      <c r="S64" s="220" t="n"/>
      <c r="T64" s="220" t="n"/>
      <c r="U64" s="220" t="n"/>
      <c r="V64" s="220" t="n"/>
      <c r="W64" s="220" t="n"/>
      <c r="X64" s="220" t="n"/>
      <c r="Y64" s="220" t="n"/>
      <c r="Z64" s="220" t="n"/>
      <c r="AA64" s="220" t="n"/>
      <c r="AB64" s="220" t="n"/>
      <c r="AC64" s="220" t="n"/>
      <c r="AD64" s="220" t="n"/>
    </row>
    <row r="65" ht="15" customHeight="1">
      <c r="B65" s="250" t="inlineStr">
        <is>
          <t>Isabella</t>
        </is>
      </c>
      <c r="C65" s="254" t="n"/>
      <c r="D65" s="254" t="n"/>
      <c r="E65" s="254" t="n"/>
      <c r="F65" s="254" t="n"/>
      <c r="G65" s="254" t="n"/>
      <c r="H65" s="254" t="n"/>
      <c r="I65" s="254" t="n"/>
      <c r="J65" s="254" t="n"/>
      <c r="K65" s="254" t="n"/>
      <c r="L65" s="254" t="n"/>
      <c r="M65" s="254" t="n"/>
      <c r="N65" s="254" t="n"/>
      <c r="O65" s="126">
        <f>IFERROR(AVERAGE(Attitude_OT[[#This Row],[Jan]:[Dec]]),"")</f>
        <v/>
      </c>
    </row>
    <row r="66" ht="15" customHeight="1">
      <c r="B66" s="250" t="inlineStr">
        <is>
          <t>Lynn</t>
        </is>
      </c>
      <c r="C66" s="254" t="n"/>
      <c r="D66" s="254" t="n"/>
      <c r="E66" s="254" t="n"/>
      <c r="F66" s="254" t="n"/>
      <c r="G66" s="254" t="n"/>
      <c r="H66" s="254" t="n"/>
      <c r="I66" s="254" t="n"/>
      <c r="J66" s="254" t="n"/>
      <c r="K66" s="254" t="n"/>
      <c r="L66" s="254" t="n"/>
      <c r="M66" s="254" t="n"/>
      <c r="N66" s="254" t="n"/>
      <c r="O66" s="126">
        <f>IFERROR(AVERAGE(Attitude_OT[[#This Row],[Jan]:[Dec]]),"")</f>
        <v/>
      </c>
    </row>
    <row r="67" ht="15" customHeight="1">
      <c r="B67" s="250" t="inlineStr">
        <is>
          <t>Portia</t>
        </is>
      </c>
      <c r="C67" s="247" t="n"/>
      <c r="D67" s="247" t="n"/>
      <c r="E67" s="247" t="n"/>
      <c r="F67" s="247" t="n"/>
      <c r="G67" s="247" t="n"/>
      <c r="H67" s="247" t="n"/>
      <c r="I67" s="247" t="n"/>
      <c r="J67" s="247" t="n"/>
      <c r="K67" s="247" t="n"/>
      <c r="L67" s="247" t="n"/>
      <c r="M67" s="247" t="n"/>
      <c r="N67" s="247" t="n"/>
      <c r="O67" s="86">
        <f>IFERROR(AVERAGE(Attitude_OT[[#This Row],[Jan]:[Dec]]),"")</f>
        <v/>
      </c>
    </row>
    <row r="68" ht="15" customHeight="1">
      <c r="B68" s="250" t="inlineStr">
        <is>
          <t>Bao</t>
        </is>
      </c>
      <c r="C68" s="247" t="n"/>
      <c r="D68" s="247" t="n"/>
      <c r="E68" s="247" t="n"/>
      <c r="F68" s="247" t="n"/>
      <c r="G68" s="247" t="n"/>
      <c r="H68" s="247" t="n"/>
      <c r="I68" s="247" t="n"/>
      <c r="J68" s="247" t="n"/>
      <c r="K68" s="247" t="n"/>
      <c r="L68" s="247" t="n"/>
      <c r="M68" s="247" t="n"/>
      <c r="N68" s="247" t="n"/>
      <c r="O68" s="126">
        <f>IFERROR(AVERAGE(Attitude_OT[[#This Row],[Jan]:[Dec]]),"")</f>
        <v/>
      </c>
    </row>
    <row r="69" ht="15" customHeight="1">
      <c r="B69" s="260" t="inlineStr">
        <is>
          <t>Jiayee</t>
        </is>
      </c>
      <c r="C69" s="261" t="n"/>
      <c r="D69" s="261" t="n"/>
      <c r="E69" s="261" t="n"/>
      <c r="F69" s="261" t="n"/>
      <c r="G69" s="261" t="n"/>
      <c r="H69" s="261" t="n"/>
      <c r="I69" s="261" t="n"/>
      <c r="J69" s="261" t="n"/>
      <c r="K69" s="261" t="n"/>
      <c r="L69" s="261" t="n"/>
      <c r="M69" s="261" t="n"/>
      <c r="N69" s="261" t="n"/>
      <c r="O69" s="86">
        <f>IFERROR(AVERAGE(Attitude_OT[[#This Row],[Jan]:[Dec]]),"")</f>
        <v/>
      </c>
    </row>
    <row r="70" ht="15" customHeight="1">
      <c r="B70" s="260" t="inlineStr">
        <is>
          <t>Rainie</t>
        </is>
      </c>
      <c r="C70" s="261" t="n"/>
      <c r="D70" s="261" t="n"/>
      <c r="E70" s="261" t="n"/>
      <c r="F70" s="261" t="n"/>
      <c r="G70" s="261" t="n"/>
      <c r="H70" s="261" t="n"/>
      <c r="I70" s="261" t="n"/>
      <c r="J70" s="261" t="n"/>
      <c r="K70" s="261" t="n"/>
      <c r="L70" s="261" t="n"/>
      <c r="M70" s="261" t="n"/>
      <c r="N70" s="261" t="n"/>
      <c r="O70" s="86">
        <f>IFERROR(AVERAGE(Attitude_OT[[#This Row],[Jan]:[Dec]]),"")</f>
        <v/>
      </c>
    </row>
    <row r="71" ht="15" customHeight="1">
      <c r="B71" s="262" t="inlineStr">
        <is>
          <t>Sabrina</t>
        </is>
      </c>
      <c r="C71" s="261" t="n"/>
      <c r="D71" s="261" t="n"/>
      <c r="E71" s="261" t="n"/>
      <c r="F71" s="261" t="n"/>
      <c r="G71" s="261" t="n"/>
      <c r="H71" s="261" t="n"/>
      <c r="I71" s="261" t="n"/>
      <c r="J71" s="261" t="n"/>
      <c r="K71" s="261" t="n"/>
      <c r="L71" s="261" t="n"/>
      <c r="M71" s="261" t="n"/>
      <c r="N71" s="261" t="n"/>
      <c r="O71" s="86">
        <f>IFERROR(AVERAGE(Attitude_OT[[#This Row],[Jan]:[Dec]]),"")</f>
        <v/>
      </c>
    </row>
    <row r="72" ht="15" customHeight="1">
      <c r="B72" s="220" t="n"/>
      <c r="C72" s="220" t="n"/>
      <c r="D72" s="220" t="n"/>
      <c r="E72" s="220" t="n"/>
      <c r="F72" s="220" t="n"/>
      <c r="G72" s="220" t="n"/>
      <c r="H72" s="220" t="n"/>
      <c r="I72" s="220" t="n"/>
      <c r="J72" s="220" t="n"/>
      <c r="K72" s="220" t="n"/>
      <c r="L72" s="220" t="n"/>
      <c r="M72" s="220" t="n"/>
      <c r="N72" s="220" t="n"/>
      <c r="O72" s="220" t="n"/>
    </row>
    <row r="73" ht="15" customHeight="1">
      <c r="B73" s="220" t="n"/>
      <c r="C73" s="220" t="n"/>
      <c r="D73" s="220" t="n"/>
      <c r="E73" s="220" t="n"/>
      <c r="F73" s="220" t="n"/>
      <c r="G73" s="220" t="n"/>
      <c r="H73" s="220" t="n"/>
      <c r="I73" s="220" t="n"/>
      <c r="J73" s="220" t="n"/>
      <c r="K73" s="220" t="n"/>
      <c r="L73" s="220" t="n"/>
      <c r="M73" s="220" t="n"/>
      <c r="N73" s="220" t="n"/>
      <c r="O73" s="220" t="n"/>
    </row>
    <row r="74" ht="15" customHeight="1">
      <c r="B74" s="220" t="n"/>
      <c r="C74" s="220" t="n"/>
      <c r="D74" s="220" t="n"/>
      <c r="E74" s="220" t="n"/>
      <c r="F74" s="220" t="n"/>
      <c r="G74" s="220" t="n"/>
      <c r="H74" s="220" t="n"/>
      <c r="I74" s="220" t="n"/>
      <c r="J74" s="220" t="n"/>
      <c r="K74" s="220" t="n"/>
      <c r="L74" s="220" t="n"/>
      <c r="M74" s="91" t="n"/>
      <c r="N74" s="91" t="n"/>
      <c r="O74" s="91" t="n"/>
    </row>
  </sheetData>
  <mergeCells count="42">
    <mergeCell ref="Q16:R16"/>
    <mergeCell ref="Q25:R25"/>
    <mergeCell ref="Q9:R10"/>
    <mergeCell ref="S23:U23"/>
    <mergeCell ref="Q21:U21"/>
    <mergeCell ref="Q37:U37"/>
    <mergeCell ref="Q24:R24"/>
    <mergeCell ref="Q18:R18"/>
    <mergeCell ref="S40:U40"/>
    <mergeCell ref="S49:U49"/>
    <mergeCell ref="S34:U34"/>
    <mergeCell ref="S33:U33"/>
    <mergeCell ref="S24:U24"/>
    <mergeCell ref="Q23:R23"/>
    <mergeCell ref="Q7:R8"/>
    <mergeCell ref="Q29:U29"/>
    <mergeCell ref="Q38:U38"/>
    <mergeCell ref="Q26:R26"/>
    <mergeCell ref="S35:U35"/>
    <mergeCell ref="Q13:U14"/>
    <mergeCell ref="S41:U41"/>
    <mergeCell ref="S32:U32"/>
    <mergeCell ref="S50:U50"/>
    <mergeCell ref="S51:U51"/>
    <mergeCell ref="S26:U26"/>
    <mergeCell ref="Q46:U46"/>
    <mergeCell ref="S31:U31"/>
    <mergeCell ref="Q22:U22"/>
    <mergeCell ref="B2:B4"/>
    <mergeCell ref="Q27:R27"/>
    <mergeCell ref="S25:U25"/>
    <mergeCell ref="S47:U47"/>
    <mergeCell ref="Q30:U30"/>
    <mergeCell ref="S43:U43"/>
    <mergeCell ref="C2:D4"/>
    <mergeCell ref="Q17:R17"/>
    <mergeCell ref="S27:U27"/>
    <mergeCell ref="S42:U42"/>
    <mergeCell ref="Q45:U45"/>
    <mergeCell ref="S48:U48"/>
    <mergeCell ref="S39:U39"/>
    <mergeCell ref="Q6:W6"/>
  </mergeCells>
  <conditionalFormatting sqref="C14:O14">
    <cfRule type="expression" priority="1" dxfId="131">
      <formula>=LEN(TRIM(C14))=0</formula>
    </cfRule>
    <cfRule type="cellIs" priority="2" operator="greaterThan" dxfId="130">
      <formula>5.2</formula>
    </cfRule>
    <cfRule type="cellIs" priority="3" operator="greaterThanOrEqual" dxfId="129">
      <formula>4.8</formula>
    </cfRule>
    <cfRule type="cellIs" priority="4" operator="lessThan" dxfId="126">
      <formula>4.8</formula>
    </cfRule>
  </conditionalFormatting>
  <conditionalFormatting sqref="C15:O15">
    <cfRule type="expression" priority="5" dxfId="131">
      <formula>=LEN(TRIM(C15))=0</formula>
    </cfRule>
    <cfRule type="cellIs" priority="6" operator="greaterThan" dxfId="130">
      <formula>5.0</formula>
    </cfRule>
    <cfRule type="cellIs" priority="7" operator="greaterThanOrEqual" dxfId="129">
      <formula>4.5</formula>
    </cfRule>
    <cfRule type="cellIs" priority="8" operator="lessThan" dxfId="126">
      <formula>4.5</formula>
    </cfRule>
  </conditionalFormatting>
  <conditionalFormatting sqref="C16:O16">
    <cfRule type="expression" priority="9" dxfId="131">
      <formula>=LEN(TRIM(C16))=0</formula>
    </cfRule>
    <cfRule type="cellIs" priority="10" operator="greaterThan" dxfId="130">
      <formula>5.0</formula>
    </cfRule>
    <cfRule type="cellIs" priority="11" operator="greaterThanOrEqual" dxfId="129">
      <formula>4.5</formula>
    </cfRule>
    <cfRule type="cellIs" priority="12" operator="lessThan" dxfId="126">
      <formula>4.5</formula>
    </cfRule>
  </conditionalFormatting>
  <conditionalFormatting sqref="C17:O17">
    <cfRule type="expression" priority="13" dxfId="131">
      <formula>=LEN(TRIM(C17))=0</formula>
    </cfRule>
    <cfRule type="cellIs" priority="14" operator="greaterThan" dxfId="130">
      <formula>5.0</formula>
    </cfRule>
    <cfRule type="cellIs" priority="15" operator="greaterThanOrEqual" dxfId="129">
      <formula>4.5</formula>
    </cfRule>
    <cfRule type="cellIs" priority="16" operator="lessThan" dxfId="126">
      <formula>4.5</formula>
    </cfRule>
  </conditionalFormatting>
  <conditionalFormatting sqref="C18:O18">
    <cfRule type="expression" priority="17" dxfId="131">
      <formula>=LEN(TRIM(C18))=0</formula>
    </cfRule>
    <cfRule type="cellIs" priority="18" operator="greaterThan" dxfId="130">
      <formula>5.0</formula>
    </cfRule>
    <cfRule type="cellIs" priority="19" operator="greaterThanOrEqual" dxfId="129">
      <formula>4.5</formula>
    </cfRule>
    <cfRule type="cellIs" priority="20" operator="lessThan" dxfId="126">
      <formula>4.5</formula>
    </cfRule>
  </conditionalFormatting>
  <conditionalFormatting sqref="C19:O19">
    <cfRule type="expression" priority="21" dxfId="131">
      <formula>=LEN(TRIM(C19))=0</formula>
    </cfRule>
    <cfRule type="cellIs" priority="22" operator="greaterThan" dxfId="130">
      <formula>5.0</formula>
    </cfRule>
    <cfRule type="cellIs" priority="23" operator="greaterThanOrEqual" dxfId="129">
      <formula>4.5</formula>
    </cfRule>
    <cfRule type="cellIs" priority="24" operator="lessThan" dxfId="126">
      <formula>4.5</formula>
    </cfRule>
  </conditionalFormatting>
  <conditionalFormatting sqref="C20:O20">
    <cfRule type="expression" priority="25" dxfId="131">
      <formula>=LEN(TRIM(C20))=0</formula>
    </cfRule>
    <cfRule type="cellIs" priority="26" operator="greaterThan" dxfId="130">
      <formula>4.8</formula>
    </cfRule>
    <cfRule type="cellIs" priority="27" operator="greaterThanOrEqual" dxfId="129">
      <formula>4.0</formula>
    </cfRule>
    <cfRule type="cellIs" priority="28" operator="lessThan" dxfId="126">
      <formula>4.0</formula>
    </cfRule>
  </conditionalFormatting>
  <conditionalFormatting sqref="C21:O21">
    <cfRule type="expression" priority="29" dxfId="131">
      <formula>=LEN(TRIM(C21))=0</formula>
    </cfRule>
    <cfRule type="cellIs" priority="30" operator="greaterThan" dxfId="130">
      <formula>4.8</formula>
    </cfRule>
    <cfRule type="cellIs" priority="31" operator="greaterThanOrEqual" dxfId="129">
      <formula>4.0</formula>
    </cfRule>
    <cfRule type="cellIs" priority="32" operator="lessThan" dxfId="126">
      <formula>4.0</formula>
    </cfRule>
  </conditionalFormatting>
  <conditionalFormatting sqref="C22:O22">
    <cfRule type="expression" priority="33" dxfId="131">
      <formula>=LEN(TRIM(C22))=0</formula>
    </cfRule>
    <cfRule type="cellIs" priority="34" operator="greaterThan" dxfId="130">
      <formula>4.8</formula>
    </cfRule>
    <cfRule type="cellIs" priority="35" operator="greaterThanOrEqual" dxfId="129">
      <formula>4.0</formula>
    </cfRule>
    <cfRule type="cellIs" priority="36" operator="lessThan" dxfId="126">
      <formula>4.0</formula>
    </cfRule>
  </conditionalFormatting>
  <conditionalFormatting sqref="C23:O23">
    <cfRule type="expression" priority="37" dxfId="131">
      <formula>=LEN(TRIM(C23))=0</formula>
    </cfRule>
    <cfRule type="cellIs" priority="38" operator="greaterThan" dxfId="130">
      <formula>4.8</formula>
    </cfRule>
    <cfRule type="cellIs" priority="39" operator="greaterThanOrEqual" dxfId="129">
      <formula>4.0</formula>
    </cfRule>
    <cfRule type="cellIs" priority="40" operator="lessThan" dxfId="126">
      <formula>4.0</formula>
    </cfRule>
  </conditionalFormatting>
  <conditionalFormatting sqref="C26:O26">
    <cfRule type="expression" priority="41" dxfId="131">
      <formula>=LEN(TRIM(C26))=0</formula>
    </cfRule>
    <cfRule type="cellIs" priority="42" operator="greaterThanOrEqual" dxfId="130">
      <formula>4.5</formula>
    </cfRule>
    <cfRule type="cellIs" priority="43" operator="greaterThanOrEqual" dxfId="129">
      <formula>3.5</formula>
    </cfRule>
    <cfRule type="cellIs" priority="44" operator="greaterThanOrEqual" dxfId="128">
      <formula>2.5</formula>
    </cfRule>
    <cfRule type="cellIs" priority="45" operator="greaterThanOrEqual" dxfId="127">
      <formula>1.5</formula>
    </cfRule>
    <cfRule type="cellIs" priority="46" operator="lessThan" dxfId="126">
      <formula>1.5</formula>
    </cfRule>
  </conditionalFormatting>
  <conditionalFormatting sqref="C27:O27">
    <cfRule type="expression" priority="47" dxfId="131">
      <formula>=LEN(TRIM(C27))=0</formula>
    </cfRule>
    <cfRule type="cellIs" priority="48" operator="greaterThanOrEqual" dxfId="130">
      <formula>4.5</formula>
    </cfRule>
    <cfRule type="cellIs" priority="49" operator="greaterThanOrEqual" dxfId="129">
      <formula>3.5</formula>
    </cfRule>
    <cfRule type="cellIs" priority="50" operator="greaterThanOrEqual" dxfId="128">
      <formula>2.5</formula>
    </cfRule>
    <cfRule type="cellIs" priority="51" operator="greaterThanOrEqual" dxfId="127">
      <formula>1.5</formula>
    </cfRule>
    <cfRule type="cellIs" priority="52" operator="lessThan" dxfId="126">
      <formula>1.5</formula>
    </cfRule>
  </conditionalFormatting>
  <conditionalFormatting sqref="C28:O28">
    <cfRule type="expression" priority="53" dxfId="131">
      <formula>=LEN(TRIM(C28))=0</formula>
    </cfRule>
    <cfRule type="cellIs" priority="54" operator="greaterThanOrEqual" dxfId="130">
      <formula>4.5</formula>
    </cfRule>
    <cfRule type="cellIs" priority="55" operator="greaterThanOrEqual" dxfId="129">
      <formula>3.5</formula>
    </cfRule>
    <cfRule type="cellIs" priority="56" operator="greaterThanOrEqual" dxfId="128">
      <formula>2.5</formula>
    </cfRule>
    <cfRule type="cellIs" priority="57" operator="greaterThanOrEqual" dxfId="127">
      <formula>1.5</formula>
    </cfRule>
    <cfRule type="cellIs" priority="58" operator="lessThan" dxfId="126">
      <formula>1.5</formula>
    </cfRule>
  </conditionalFormatting>
  <conditionalFormatting sqref="C29:O29">
    <cfRule type="expression" priority="59" dxfId="131">
      <formula>=LEN(TRIM(C29))=0</formula>
    </cfRule>
    <cfRule type="cellIs" priority="60" operator="greaterThanOrEqual" dxfId="130">
      <formula>4.5</formula>
    </cfRule>
    <cfRule type="cellIs" priority="61" operator="greaterThanOrEqual" dxfId="129">
      <formula>3.5</formula>
    </cfRule>
    <cfRule type="cellIs" priority="62" operator="greaterThanOrEqual" dxfId="128">
      <formula>2.5</formula>
    </cfRule>
    <cfRule type="cellIs" priority="63" operator="greaterThanOrEqual" dxfId="127">
      <formula>1.5</formula>
    </cfRule>
    <cfRule type="cellIs" priority="64" operator="lessThan" dxfId="126">
      <formula>1.5</formula>
    </cfRule>
  </conditionalFormatting>
  <conditionalFormatting sqref="C30:O30">
    <cfRule type="expression" priority="65" dxfId="131">
      <formula>=LEN(TRIM(C30))=0</formula>
    </cfRule>
    <cfRule type="cellIs" priority="66" operator="greaterThanOrEqual" dxfId="130">
      <formula>4.5</formula>
    </cfRule>
    <cfRule type="cellIs" priority="67" operator="greaterThanOrEqual" dxfId="129">
      <formula>3.5</formula>
    </cfRule>
    <cfRule type="cellIs" priority="68" operator="greaterThanOrEqual" dxfId="128">
      <formula>2.5</formula>
    </cfRule>
    <cfRule type="cellIs" priority="69" operator="greaterThanOrEqual" dxfId="127">
      <formula>1.5</formula>
    </cfRule>
    <cfRule type="cellIs" priority="70" operator="lessThan" dxfId="126">
      <formula>1.5</formula>
    </cfRule>
  </conditionalFormatting>
  <conditionalFormatting sqref="C31:O31">
    <cfRule type="expression" priority="71" dxfId="131">
      <formula>=LEN(TRIM(C31))=0</formula>
    </cfRule>
    <cfRule type="cellIs" priority="72" operator="greaterThanOrEqual" dxfId="130">
      <formula>4.5</formula>
    </cfRule>
    <cfRule type="cellIs" priority="73" operator="greaterThanOrEqual" dxfId="129">
      <formula>3.5</formula>
    </cfRule>
    <cfRule type="cellIs" priority="74" operator="greaterThanOrEqual" dxfId="128">
      <formula>2.5</formula>
    </cfRule>
    <cfRule type="cellIs" priority="75" operator="greaterThanOrEqual" dxfId="127">
      <formula>1.5</formula>
    </cfRule>
    <cfRule type="cellIs" priority="76" operator="lessThan" dxfId="126">
      <formula>1.5</formula>
    </cfRule>
  </conditionalFormatting>
  <conditionalFormatting sqref="C32:O32">
    <cfRule type="expression" priority="77" dxfId="131">
      <formula>=LEN(TRIM(C32))=0</formula>
    </cfRule>
    <cfRule type="cellIs" priority="78" operator="greaterThanOrEqual" dxfId="130">
      <formula>4.5</formula>
    </cfRule>
    <cfRule type="cellIs" priority="79" operator="greaterThanOrEqual" dxfId="129">
      <formula>3.5</formula>
    </cfRule>
    <cfRule type="cellIs" priority="80" operator="greaterThanOrEqual" dxfId="128">
      <formula>2.5</formula>
    </cfRule>
    <cfRule type="cellIs" priority="81" operator="greaterThanOrEqual" dxfId="127">
      <formula>1.5</formula>
    </cfRule>
    <cfRule type="cellIs" priority="82" operator="lessThan" dxfId="126">
      <formula>1.5</formula>
    </cfRule>
  </conditionalFormatting>
  <conditionalFormatting sqref="C33:O33">
    <cfRule type="expression" priority="83" dxfId="131">
      <formula>=LEN(TRIM(C33))=0</formula>
    </cfRule>
    <cfRule type="cellIs" priority="84" operator="greaterThanOrEqual" dxfId="130">
      <formula>4.5</formula>
    </cfRule>
    <cfRule type="cellIs" priority="85" operator="greaterThanOrEqual" dxfId="129">
      <formula>3.5</formula>
    </cfRule>
    <cfRule type="cellIs" priority="86" operator="greaterThanOrEqual" dxfId="128">
      <formula>2.5</formula>
    </cfRule>
    <cfRule type="cellIs" priority="87" operator="greaterThanOrEqual" dxfId="127">
      <formula>1.5</formula>
    </cfRule>
    <cfRule type="cellIs" priority="88" operator="lessThan" dxfId="126">
      <formula>1.5</formula>
    </cfRule>
  </conditionalFormatting>
  <conditionalFormatting sqref="C34:O34">
    <cfRule type="expression" priority="89" dxfId="131">
      <formula>=LEN(TRIM(C34))=0</formula>
    </cfRule>
    <cfRule type="cellIs" priority="90" operator="greaterThanOrEqual" dxfId="130">
      <formula>4.5</formula>
    </cfRule>
    <cfRule type="cellIs" priority="91" operator="greaterThanOrEqual" dxfId="129">
      <formula>3.5</formula>
    </cfRule>
    <cfRule type="cellIs" priority="92" operator="greaterThanOrEqual" dxfId="128">
      <formula>2.5</formula>
    </cfRule>
    <cfRule type="cellIs" priority="93" operator="greaterThanOrEqual" dxfId="127">
      <formula>1.5</formula>
    </cfRule>
    <cfRule type="cellIs" priority="94" operator="lessThan" dxfId="126">
      <formula>1.5</formula>
    </cfRule>
  </conditionalFormatting>
  <conditionalFormatting sqref="C35:O35">
    <cfRule type="expression" priority="95" dxfId="131">
      <formula>=LEN(TRIM(C35))=0</formula>
    </cfRule>
    <cfRule type="cellIs" priority="96" operator="greaterThanOrEqual" dxfId="130">
      <formula>4.5</formula>
    </cfRule>
    <cfRule type="cellIs" priority="97" operator="greaterThanOrEqual" dxfId="129">
      <formula>3.5</formula>
    </cfRule>
    <cfRule type="cellIs" priority="98" operator="greaterThanOrEqual" dxfId="128">
      <formula>2.5</formula>
    </cfRule>
    <cfRule type="cellIs" priority="99" operator="greaterThanOrEqual" dxfId="127">
      <formula>1.5</formula>
    </cfRule>
    <cfRule type="cellIs" priority="100" operator="lessThan" dxfId="126">
      <formula>1.5</formula>
    </cfRule>
  </conditionalFormatting>
  <conditionalFormatting sqref="C38:O38">
    <cfRule type="expression" priority="101" dxfId="131">
      <formula>=LEN(TRIM(C38))=0</formula>
    </cfRule>
    <cfRule type="cellIs" priority="102" operator="greaterThanOrEqual" dxfId="130">
      <formula>4.5</formula>
    </cfRule>
    <cfRule type="cellIs" priority="103" operator="greaterThanOrEqual" dxfId="129">
      <formula>3.5</formula>
    </cfRule>
    <cfRule type="cellIs" priority="104" operator="greaterThanOrEqual" dxfId="128">
      <formula>2.5</formula>
    </cfRule>
    <cfRule type="cellIs" priority="105" operator="greaterThanOrEqual" dxfId="127">
      <formula>1.5</formula>
    </cfRule>
    <cfRule type="cellIs" priority="106" operator="lessThan" dxfId="126">
      <formula>1.5</formula>
    </cfRule>
  </conditionalFormatting>
  <conditionalFormatting sqref="C39:O39">
    <cfRule type="expression" priority="107" dxfId="131">
      <formula>=LEN(TRIM(C39))=0</formula>
    </cfRule>
    <cfRule type="cellIs" priority="108" operator="greaterThanOrEqual" dxfId="130">
      <formula>4.5</formula>
    </cfRule>
    <cfRule type="cellIs" priority="109" operator="greaterThanOrEqual" dxfId="129">
      <formula>3.5</formula>
    </cfRule>
    <cfRule type="cellIs" priority="110" operator="greaterThanOrEqual" dxfId="128">
      <formula>2.5</formula>
    </cfRule>
    <cfRule type="cellIs" priority="111" operator="greaterThanOrEqual" dxfId="127">
      <formula>1.5</formula>
    </cfRule>
    <cfRule type="cellIs" priority="112" operator="lessThan" dxfId="126">
      <formula>1.5</formula>
    </cfRule>
  </conditionalFormatting>
  <conditionalFormatting sqref="C40:O40">
    <cfRule type="expression" priority="113" dxfId="131">
      <formula>=LEN(TRIM(C40))=0</formula>
    </cfRule>
    <cfRule type="cellIs" priority="114" operator="greaterThanOrEqual" dxfId="130">
      <formula>4.5</formula>
    </cfRule>
    <cfRule type="cellIs" priority="115" operator="greaterThanOrEqual" dxfId="129">
      <formula>3.5</formula>
    </cfRule>
    <cfRule type="cellIs" priority="116" operator="greaterThanOrEqual" dxfId="128">
      <formula>2.5</formula>
    </cfRule>
    <cfRule type="cellIs" priority="117" operator="greaterThanOrEqual" dxfId="127">
      <formula>1.5</formula>
    </cfRule>
    <cfRule type="cellIs" priority="118" operator="lessThan" dxfId="126">
      <formula>1.5</formula>
    </cfRule>
  </conditionalFormatting>
  <conditionalFormatting sqref="C41:O41">
    <cfRule type="expression" priority="119" dxfId="131">
      <formula>=LEN(TRIM(C41))=0</formula>
    </cfRule>
    <cfRule type="cellIs" priority="120" operator="greaterThanOrEqual" dxfId="130">
      <formula>4.5</formula>
    </cfRule>
    <cfRule type="cellIs" priority="121" operator="greaterThanOrEqual" dxfId="129">
      <formula>3.5</formula>
    </cfRule>
    <cfRule type="cellIs" priority="122" operator="greaterThanOrEqual" dxfId="128">
      <formula>2.5</formula>
    </cfRule>
    <cfRule type="cellIs" priority="123" operator="greaterThanOrEqual" dxfId="127">
      <formula>1.5</formula>
    </cfRule>
    <cfRule type="cellIs" priority="124" operator="lessThan" dxfId="126">
      <formula>1.5</formula>
    </cfRule>
  </conditionalFormatting>
  <conditionalFormatting sqref="C42:O42">
    <cfRule type="expression" priority="125" dxfId="131">
      <formula>=LEN(TRIM(C42))=0</formula>
    </cfRule>
    <cfRule type="cellIs" priority="126" operator="greaterThanOrEqual" dxfId="130">
      <formula>4.5</formula>
    </cfRule>
    <cfRule type="cellIs" priority="127" operator="greaterThanOrEqual" dxfId="129">
      <formula>3.5</formula>
    </cfRule>
    <cfRule type="cellIs" priority="128" operator="greaterThanOrEqual" dxfId="128">
      <formula>2.5</formula>
    </cfRule>
    <cfRule type="cellIs" priority="129" operator="greaterThanOrEqual" dxfId="127">
      <formula>1.5</formula>
    </cfRule>
    <cfRule type="cellIs" priority="130" operator="lessThan" dxfId="126">
      <formula>1.5</formula>
    </cfRule>
  </conditionalFormatting>
  <conditionalFormatting sqref="C43:O43">
    <cfRule type="expression" priority="131" dxfId="131">
      <formula>=LEN(TRIM(C43))=0</formula>
    </cfRule>
    <cfRule type="cellIs" priority="132" operator="greaterThanOrEqual" dxfId="130">
      <formula>4.5</formula>
    </cfRule>
    <cfRule type="cellIs" priority="133" operator="greaterThanOrEqual" dxfId="129">
      <formula>3.5</formula>
    </cfRule>
    <cfRule type="cellIs" priority="134" operator="greaterThanOrEqual" dxfId="128">
      <formula>2.5</formula>
    </cfRule>
    <cfRule type="cellIs" priority="135" operator="greaterThanOrEqual" dxfId="127">
      <formula>1.5</formula>
    </cfRule>
    <cfRule type="cellIs" priority="136" operator="lessThan" dxfId="126">
      <formula>1.5</formula>
    </cfRule>
  </conditionalFormatting>
  <conditionalFormatting sqref="C44:O44">
    <cfRule type="expression" priority="137" dxfId="131">
      <formula>=LEN(TRIM(C44))=0</formula>
    </cfRule>
    <cfRule type="cellIs" priority="138" operator="greaterThanOrEqual" dxfId="130">
      <formula>4.5</formula>
    </cfRule>
    <cfRule type="cellIs" priority="139" operator="greaterThanOrEqual" dxfId="129">
      <formula>3.5</formula>
    </cfRule>
    <cfRule type="cellIs" priority="140" operator="greaterThanOrEqual" dxfId="128">
      <formula>2.5</formula>
    </cfRule>
    <cfRule type="cellIs" priority="141" operator="greaterThanOrEqual" dxfId="127">
      <formula>1.5</formula>
    </cfRule>
    <cfRule type="cellIs" priority="142" operator="lessThan" dxfId="126">
      <formula>1.5</formula>
    </cfRule>
  </conditionalFormatting>
  <conditionalFormatting sqref="C45:O45">
    <cfRule type="expression" priority="143" dxfId="131">
      <formula>=LEN(TRIM(C45))=0</formula>
    </cfRule>
    <cfRule type="cellIs" priority="144" operator="greaterThanOrEqual" dxfId="130">
      <formula>4.5</formula>
    </cfRule>
    <cfRule type="cellIs" priority="145" operator="greaterThanOrEqual" dxfId="129">
      <formula>3.5</formula>
    </cfRule>
    <cfRule type="cellIs" priority="146" operator="greaterThanOrEqual" dxfId="128">
      <formula>2.5</formula>
    </cfRule>
    <cfRule type="cellIs" priority="147" operator="greaterThanOrEqual" dxfId="127">
      <formula>1.5</formula>
    </cfRule>
    <cfRule type="cellIs" priority="148" operator="lessThan" dxfId="126">
      <formula>1.5</formula>
    </cfRule>
  </conditionalFormatting>
  <conditionalFormatting sqref="C46:O46">
    <cfRule type="expression" priority="149" dxfId="131">
      <formula>=LEN(TRIM(C46))=0</formula>
    </cfRule>
    <cfRule type="cellIs" priority="150" operator="greaterThanOrEqual" dxfId="130">
      <formula>4.5</formula>
    </cfRule>
    <cfRule type="cellIs" priority="151" operator="greaterThanOrEqual" dxfId="129">
      <formula>3.5</formula>
    </cfRule>
    <cfRule type="cellIs" priority="152" operator="greaterThanOrEqual" dxfId="128">
      <formula>2.5</formula>
    </cfRule>
    <cfRule type="cellIs" priority="153" operator="greaterThanOrEqual" dxfId="127">
      <formula>1.5</formula>
    </cfRule>
    <cfRule type="cellIs" priority="154" operator="lessThan" dxfId="126">
      <formula>1.5</formula>
    </cfRule>
  </conditionalFormatting>
  <conditionalFormatting sqref="C47:O47">
    <cfRule type="expression" priority="155" dxfId="131">
      <formula>=LEN(TRIM(C47))=0</formula>
    </cfRule>
    <cfRule type="cellIs" priority="156" operator="greaterThanOrEqual" dxfId="130">
      <formula>4.5</formula>
    </cfRule>
    <cfRule type="cellIs" priority="157" operator="greaterThanOrEqual" dxfId="129">
      <formula>3.5</formula>
    </cfRule>
    <cfRule type="cellIs" priority="158" operator="greaterThanOrEqual" dxfId="128">
      <formula>2.5</formula>
    </cfRule>
    <cfRule type="cellIs" priority="159" operator="greaterThanOrEqual" dxfId="127">
      <formula>1.5</formula>
    </cfRule>
    <cfRule type="cellIs" priority="160" operator="lessThan" dxfId="126">
      <formula>1.5</formula>
    </cfRule>
  </conditionalFormatting>
  <conditionalFormatting sqref="C50:O50">
    <cfRule type="expression" priority="161" dxfId="131">
      <formula>=LEN(TRIM(C50))=0</formula>
    </cfRule>
    <cfRule type="cellIs" priority="162" operator="greaterThanOrEqual" dxfId="130">
      <formula>4.5</formula>
    </cfRule>
    <cfRule type="cellIs" priority="163" operator="greaterThanOrEqual" dxfId="129">
      <formula>3.5</formula>
    </cfRule>
    <cfRule type="cellIs" priority="164" operator="greaterThanOrEqual" dxfId="128">
      <formula>2.5</formula>
    </cfRule>
    <cfRule type="cellIs" priority="165" operator="greaterThanOrEqual" dxfId="127">
      <formula>1.5</formula>
    </cfRule>
    <cfRule type="cellIs" priority="166" operator="lessThan" dxfId="126">
      <formula>1.5</formula>
    </cfRule>
  </conditionalFormatting>
  <conditionalFormatting sqref="C51:O51">
    <cfRule type="expression" priority="167" dxfId="131">
      <formula>=LEN(TRIM(C51))=0</formula>
    </cfRule>
    <cfRule type="cellIs" priority="168" operator="greaterThanOrEqual" dxfId="130">
      <formula>4.5</formula>
    </cfRule>
    <cfRule type="cellIs" priority="169" operator="greaterThanOrEqual" dxfId="129">
      <formula>3.5</formula>
    </cfRule>
    <cfRule type="cellIs" priority="170" operator="greaterThanOrEqual" dxfId="128">
      <formula>2.5</formula>
    </cfRule>
    <cfRule type="cellIs" priority="171" operator="greaterThanOrEqual" dxfId="127">
      <formula>1.5</formula>
    </cfRule>
    <cfRule type="cellIs" priority="172" operator="lessThan" dxfId="126">
      <formula>1.5</formula>
    </cfRule>
  </conditionalFormatting>
  <conditionalFormatting sqref="C52:O52">
    <cfRule type="expression" priority="173" dxfId="131">
      <formula>=LEN(TRIM(C52))=0</formula>
    </cfRule>
    <cfRule type="cellIs" priority="174" operator="greaterThanOrEqual" dxfId="130">
      <formula>4.5</formula>
    </cfRule>
    <cfRule type="cellIs" priority="175" operator="greaterThanOrEqual" dxfId="129">
      <formula>3.5</formula>
    </cfRule>
    <cfRule type="cellIs" priority="176" operator="greaterThanOrEqual" dxfId="128">
      <formula>2.5</formula>
    </cfRule>
    <cfRule type="cellIs" priority="177" operator="greaterThanOrEqual" dxfId="127">
      <formula>1.5</formula>
    </cfRule>
    <cfRule type="cellIs" priority="178" operator="lessThan" dxfId="126">
      <formula>1.5</formula>
    </cfRule>
  </conditionalFormatting>
  <conditionalFormatting sqref="C53:O53">
    <cfRule type="expression" priority="179" dxfId="131">
      <formula>=LEN(TRIM(C53))=0</formula>
    </cfRule>
    <cfRule type="cellIs" priority="180" operator="greaterThanOrEqual" dxfId="130">
      <formula>4.5</formula>
    </cfRule>
    <cfRule type="cellIs" priority="181" operator="greaterThanOrEqual" dxfId="129">
      <formula>3.5</formula>
    </cfRule>
    <cfRule type="cellIs" priority="182" operator="greaterThanOrEqual" dxfId="128">
      <formula>2.5</formula>
    </cfRule>
    <cfRule type="cellIs" priority="183" operator="greaterThanOrEqual" dxfId="127">
      <formula>1.5</formula>
    </cfRule>
    <cfRule type="cellIs" priority="184" operator="lessThan" dxfId="126">
      <formula>1.5</formula>
    </cfRule>
  </conditionalFormatting>
  <conditionalFormatting sqref="C54:O54">
    <cfRule type="expression" priority="185" dxfId="131">
      <formula>=LEN(TRIM(C54))=0</formula>
    </cfRule>
    <cfRule type="cellIs" priority="186" operator="greaterThanOrEqual" dxfId="130">
      <formula>4.5</formula>
    </cfRule>
    <cfRule type="cellIs" priority="187" operator="greaterThanOrEqual" dxfId="129">
      <formula>3.5</formula>
    </cfRule>
    <cfRule type="cellIs" priority="188" operator="greaterThanOrEqual" dxfId="128">
      <formula>2.5</formula>
    </cfRule>
    <cfRule type="cellIs" priority="189" operator="greaterThanOrEqual" dxfId="127">
      <formula>1.5</formula>
    </cfRule>
    <cfRule type="cellIs" priority="190" operator="lessThan" dxfId="126">
      <formula>1.5</formula>
    </cfRule>
  </conditionalFormatting>
  <conditionalFormatting sqref="C55:O55">
    <cfRule type="expression" priority="191" dxfId="131">
      <formula>=LEN(TRIM(C55))=0</formula>
    </cfRule>
    <cfRule type="cellIs" priority="192" operator="greaterThanOrEqual" dxfId="130">
      <formula>4.5</formula>
    </cfRule>
    <cfRule type="cellIs" priority="193" operator="greaterThanOrEqual" dxfId="129">
      <formula>3.5</formula>
    </cfRule>
    <cfRule type="cellIs" priority="194" operator="greaterThanOrEqual" dxfId="128">
      <formula>2.5</formula>
    </cfRule>
    <cfRule type="cellIs" priority="195" operator="greaterThanOrEqual" dxfId="127">
      <formula>1.5</formula>
    </cfRule>
    <cfRule type="cellIs" priority="196" operator="lessThan" dxfId="126">
      <formula>1.5</formula>
    </cfRule>
  </conditionalFormatting>
  <conditionalFormatting sqref="C56:O56">
    <cfRule type="expression" priority="197" dxfId="131">
      <formula>=LEN(TRIM(C56))=0</formula>
    </cfRule>
    <cfRule type="cellIs" priority="198" operator="greaterThanOrEqual" dxfId="130">
      <formula>4.5</formula>
    </cfRule>
    <cfRule type="cellIs" priority="199" operator="greaterThanOrEqual" dxfId="129">
      <formula>3.5</formula>
    </cfRule>
    <cfRule type="cellIs" priority="200" operator="greaterThanOrEqual" dxfId="128">
      <formula>2.5</formula>
    </cfRule>
    <cfRule type="cellIs" priority="201" operator="greaterThanOrEqual" dxfId="127">
      <formula>1.5</formula>
    </cfRule>
    <cfRule type="cellIs" priority="202" operator="lessThan" dxfId="126">
      <formula>1.5</formula>
    </cfRule>
  </conditionalFormatting>
  <conditionalFormatting sqref="C57:O57">
    <cfRule type="expression" priority="203" dxfId="131">
      <formula>=LEN(TRIM(C57))=0</formula>
    </cfRule>
    <cfRule type="cellIs" priority="204" operator="greaterThanOrEqual" dxfId="130">
      <formula>4.5</formula>
    </cfRule>
    <cfRule type="cellIs" priority="205" operator="greaterThanOrEqual" dxfId="129">
      <formula>3.5</formula>
    </cfRule>
    <cfRule type="cellIs" priority="206" operator="greaterThanOrEqual" dxfId="128">
      <formula>2.5</formula>
    </cfRule>
    <cfRule type="cellIs" priority="207" operator="greaterThanOrEqual" dxfId="127">
      <formula>1.5</formula>
    </cfRule>
    <cfRule type="cellIs" priority="208" operator="lessThan" dxfId="126">
      <formula>1.5</formula>
    </cfRule>
  </conditionalFormatting>
  <conditionalFormatting sqref="C58:O58">
    <cfRule type="expression" priority="209" dxfId="131">
      <formula>=LEN(TRIM(C58))=0</formula>
    </cfRule>
    <cfRule type="cellIs" priority="210" operator="greaterThanOrEqual" dxfId="130">
      <formula>4.5</formula>
    </cfRule>
    <cfRule type="cellIs" priority="211" operator="greaterThanOrEqual" dxfId="129">
      <formula>3.5</formula>
    </cfRule>
    <cfRule type="cellIs" priority="212" operator="greaterThanOrEqual" dxfId="128">
      <formula>2.5</formula>
    </cfRule>
    <cfRule type="cellIs" priority="213" operator="greaterThanOrEqual" dxfId="127">
      <formula>1.5</formula>
    </cfRule>
    <cfRule type="cellIs" priority="214" operator="lessThan" dxfId="126">
      <formula>1.5</formula>
    </cfRule>
  </conditionalFormatting>
  <conditionalFormatting sqref="C59:O59">
    <cfRule type="expression" priority="215" dxfId="131">
      <formula>=LEN(TRIM(C59))=0</formula>
    </cfRule>
    <cfRule type="cellIs" priority="216" operator="greaterThanOrEqual" dxfId="130">
      <formula>4.5</formula>
    </cfRule>
    <cfRule type="cellIs" priority="217" operator="greaterThanOrEqual" dxfId="129">
      <formula>3.5</formula>
    </cfRule>
    <cfRule type="cellIs" priority="218" operator="greaterThanOrEqual" dxfId="128">
      <formula>2.5</formula>
    </cfRule>
    <cfRule type="cellIs" priority="219" operator="greaterThanOrEqual" dxfId="127">
      <formula>1.5</formula>
    </cfRule>
    <cfRule type="cellIs" priority="220" operator="lessThan" dxfId="126">
      <formula>1.5</formula>
    </cfRule>
  </conditionalFormatting>
  <conditionalFormatting sqref="C62:O62">
    <cfRule type="expression" priority="221" dxfId="131">
      <formula>=LEN(TRIM(C62))=0</formula>
    </cfRule>
    <cfRule type="cellIs" priority="222" operator="greaterThanOrEqual" dxfId="130">
      <formula>4.5</formula>
    </cfRule>
    <cfRule type="cellIs" priority="223" operator="greaterThanOrEqual" dxfId="129">
      <formula>3.5</formula>
    </cfRule>
    <cfRule type="cellIs" priority="224" operator="greaterThanOrEqual" dxfId="128">
      <formula>2.5</formula>
    </cfRule>
    <cfRule type="cellIs" priority="225" operator="greaterThanOrEqual" dxfId="127">
      <formula>1.5</formula>
    </cfRule>
    <cfRule type="cellIs" priority="226" operator="lessThan" dxfId="126">
      <formula>1.5</formula>
    </cfRule>
  </conditionalFormatting>
  <conditionalFormatting sqref="C63:O63">
    <cfRule type="expression" priority="227" dxfId="131">
      <formula>=LEN(TRIM(C63))=0</formula>
    </cfRule>
    <cfRule type="cellIs" priority="228" operator="greaterThanOrEqual" dxfId="130">
      <formula>4.5</formula>
    </cfRule>
    <cfRule type="cellIs" priority="229" operator="greaterThanOrEqual" dxfId="129">
      <formula>3.5</formula>
    </cfRule>
    <cfRule type="cellIs" priority="230" operator="greaterThanOrEqual" dxfId="128">
      <formula>2.5</formula>
    </cfRule>
    <cfRule type="cellIs" priority="231" operator="greaterThanOrEqual" dxfId="127">
      <formula>1.5</formula>
    </cfRule>
    <cfRule type="cellIs" priority="232" operator="lessThan" dxfId="126">
      <formula>1.5</formula>
    </cfRule>
  </conditionalFormatting>
  <conditionalFormatting sqref="C64:O64">
    <cfRule type="expression" priority="233" dxfId="131">
      <formula>=LEN(TRIM(C64))=0</formula>
    </cfRule>
    <cfRule type="cellIs" priority="234" operator="greaterThanOrEqual" dxfId="130">
      <formula>4.5</formula>
    </cfRule>
    <cfRule type="cellIs" priority="235" operator="greaterThanOrEqual" dxfId="129">
      <formula>3.5</formula>
    </cfRule>
    <cfRule type="cellIs" priority="236" operator="greaterThanOrEqual" dxfId="128">
      <formula>2.5</formula>
    </cfRule>
    <cfRule type="cellIs" priority="237" operator="greaterThanOrEqual" dxfId="127">
      <formula>1.5</formula>
    </cfRule>
    <cfRule type="cellIs" priority="238" operator="lessThan" dxfId="126">
      <formula>1.5</formula>
    </cfRule>
  </conditionalFormatting>
  <conditionalFormatting sqref="C65:O65">
    <cfRule type="expression" priority="239" dxfId="131">
      <formula>=LEN(TRIM(C65))=0</formula>
    </cfRule>
    <cfRule type="cellIs" priority="240" operator="greaterThanOrEqual" dxfId="130">
      <formula>4.5</formula>
    </cfRule>
    <cfRule type="cellIs" priority="241" operator="greaterThanOrEqual" dxfId="129">
      <formula>3.5</formula>
    </cfRule>
    <cfRule type="cellIs" priority="242" operator="greaterThanOrEqual" dxfId="128">
      <formula>2.5</formula>
    </cfRule>
    <cfRule type="cellIs" priority="243" operator="greaterThanOrEqual" dxfId="127">
      <formula>1.5</formula>
    </cfRule>
    <cfRule type="cellIs" priority="244" operator="lessThan" dxfId="126">
      <formula>1.5</formula>
    </cfRule>
  </conditionalFormatting>
  <conditionalFormatting sqref="C66:O66">
    <cfRule type="expression" priority="245" dxfId="131">
      <formula>=LEN(TRIM(C66))=0</formula>
    </cfRule>
    <cfRule type="cellIs" priority="246" operator="greaterThanOrEqual" dxfId="130">
      <formula>4.5</formula>
    </cfRule>
    <cfRule type="cellIs" priority="247" operator="greaterThanOrEqual" dxfId="129">
      <formula>3.5</formula>
    </cfRule>
    <cfRule type="cellIs" priority="248" operator="greaterThanOrEqual" dxfId="128">
      <formula>2.5</formula>
    </cfRule>
    <cfRule type="cellIs" priority="249" operator="greaterThanOrEqual" dxfId="127">
      <formula>1.5</formula>
    </cfRule>
    <cfRule type="cellIs" priority="250" operator="lessThan" dxfId="126">
      <formula>1.5</formula>
    </cfRule>
  </conditionalFormatting>
  <conditionalFormatting sqref="C67:O67">
    <cfRule type="expression" priority="251" dxfId="131">
      <formula>=LEN(TRIM(C67))=0</formula>
    </cfRule>
    <cfRule type="cellIs" priority="252" operator="greaterThanOrEqual" dxfId="130">
      <formula>4.5</formula>
    </cfRule>
    <cfRule type="cellIs" priority="253" operator="greaterThanOrEqual" dxfId="129">
      <formula>3.5</formula>
    </cfRule>
    <cfRule type="cellIs" priority="254" operator="greaterThanOrEqual" dxfId="128">
      <formula>2.5</formula>
    </cfRule>
    <cfRule type="cellIs" priority="255" operator="greaterThanOrEqual" dxfId="127">
      <formula>1.5</formula>
    </cfRule>
    <cfRule type="cellIs" priority="256" operator="lessThan" dxfId="126">
      <formula>1.5</formula>
    </cfRule>
  </conditionalFormatting>
  <conditionalFormatting sqref="C68:O68">
    <cfRule type="expression" priority="257" dxfId="131">
      <formula>=LEN(TRIM(C68))=0</formula>
    </cfRule>
    <cfRule type="cellIs" priority="258" operator="greaterThanOrEqual" dxfId="130">
      <formula>4.5</formula>
    </cfRule>
    <cfRule type="cellIs" priority="259" operator="greaterThanOrEqual" dxfId="129">
      <formula>3.5</formula>
    </cfRule>
    <cfRule type="cellIs" priority="260" operator="greaterThanOrEqual" dxfId="128">
      <formula>2.5</formula>
    </cfRule>
    <cfRule type="cellIs" priority="261" operator="greaterThanOrEqual" dxfId="127">
      <formula>1.5</formula>
    </cfRule>
    <cfRule type="cellIs" priority="262" operator="lessThan" dxfId="126">
      <formula>1.5</formula>
    </cfRule>
  </conditionalFormatting>
  <conditionalFormatting sqref="C69:O69">
    <cfRule type="expression" priority="263" dxfId="131">
      <formula>=LEN(TRIM(C69))=0</formula>
    </cfRule>
    <cfRule type="cellIs" priority="264" operator="greaterThanOrEqual" dxfId="130">
      <formula>4.5</formula>
    </cfRule>
    <cfRule type="cellIs" priority="265" operator="greaterThanOrEqual" dxfId="129">
      <formula>3.5</formula>
    </cfRule>
    <cfRule type="cellIs" priority="266" operator="greaterThanOrEqual" dxfId="128">
      <formula>2.5</formula>
    </cfRule>
    <cfRule type="cellIs" priority="267" operator="greaterThanOrEqual" dxfId="127">
      <formula>1.5</formula>
    </cfRule>
    <cfRule type="cellIs" priority="268" operator="lessThan" dxfId="126">
      <formula>1.5</formula>
    </cfRule>
  </conditionalFormatting>
  <conditionalFormatting sqref="C70:O70">
    <cfRule type="expression" priority="269" dxfId="131">
      <formula>=LEN(TRIM(C70))=0</formula>
    </cfRule>
    <cfRule type="cellIs" priority="270" operator="greaterThanOrEqual" dxfId="130">
      <formula>4.5</formula>
    </cfRule>
    <cfRule type="cellIs" priority="271" operator="greaterThanOrEqual" dxfId="129">
      <formula>3.5</formula>
    </cfRule>
    <cfRule type="cellIs" priority="272" operator="greaterThanOrEqual" dxfId="128">
      <formula>2.5</formula>
    </cfRule>
    <cfRule type="cellIs" priority="273" operator="greaterThanOrEqual" dxfId="127">
      <formula>1.5</formula>
    </cfRule>
    <cfRule type="cellIs" priority="274" operator="lessThan" dxfId="126">
      <formula>1.5</formula>
    </cfRule>
  </conditionalFormatting>
  <conditionalFormatting sqref="C71:O71">
    <cfRule type="expression" priority="275" dxfId="131">
      <formula>=LEN(TRIM(C71))=0</formula>
    </cfRule>
    <cfRule type="cellIs" priority="276" operator="greaterThanOrEqual" dxfId="130">
      <formula>4.5</formula>
    </cfRule>
    <cfRule type="cellIs" priority="277" operator="greaterThanOrEqual" dxfId="129">
      <formula>3.5</formula>
    </cfRule>
    <cfRule type="cellIs" priority="278" operator="greaterThanOrEqual" dxfId="128">
      <formula>2.5</formula>
    </cfRule>
    <cfRule type="cellIs" priority="279" operator="greaterThanOrEqual" dxfId="127">
      <formula>1.5</formula>
    </cfRule>
    <cfRule type="cellIs" priority="280" operator="lessThan" dxfId="126">
      <formula>1.5</formula>
    </cfRule>
  </conditionalFormatting>
  <conditionalFormatting sqref="C7:D7">
    <cfRule type="expression" priority="281" dxfId="131">
      <formula>=LEN(TRIM(C7))=0</formula>
    </cfRule>
    <cfRule type="cellIs" priority="282" operator="greaterThan" dxfId="130">
      <formula>4.9</formula>
    </cfRule>
    <cfRule type="cellIs" priority="283" operator="greaterThanOrEqual" dxfId="129">
      <formula>4.3</formula>
    </cfRule>
    <cfRule type="cellIs" priority="284" operator="lessThan" dxfId="126">
      <formula>4.3</formula>
    </cfRule>
  </conditionalFormatting>
  <conditionalFormatting sqref="E7:O7">
    <cfRule type="expression" priority="285" dxfId="131">
      <formula>=LEN(TRIM(E7))=0</formula>
    </cfRule>
    <cfRule type="cellIs" priority="286" operator="greaterThan" dxfId="130">
      <formula>4.6</formula>
    </cfRule>
    <cfRule type="cellIs" priority="287" operator="greaterThanOrEqual" dxfId="129">
      <formula>4.0</formula>
    </cfRule>
    <cfRule type="cellIs" priority="288" operator="lessThan" dxfId="126">
      <formula>4.0</formula>
    </cfRule>
  </conditionalFormatting>
  <conditionalFormatting sqref="C8:O8">
    <cfRule type="expression" priority="289" dxfId="131">
      <formula>=LEN(TRIM(C8))=0</formula>
    </cfRule>
    <cfRule type="cellIs" priority="290" operator="greaterThanOrEqual" dxfId="130">
      <formula>4.5</formula>
    </cfRule>
    <cfRule type="cellIs" priority="291" operator="greaterThanOrEqual" dxfId="129">
      <formula>3.5</formula>
    </cfRule>
    <cfRule type="cellIs" priority="292" operator="greaterThanOrEqual" dxfId="128">
      <formula>2.5</formula>
    </cfRule>
    <cfRule type="cellIs" priority="293" operator="greaterThanOrEqual" dxfId="127">
      <formula>1.5</formula>
    </cfRule>
    <cfRule type="cellIs" priority="294" operator="lessThan" dxfId="126">
      <formula>1.5</formula>
    </cfRule>
  </conditionalFormatting>
  <conditionalFormatting sqref="C9:O9">
    <cfRule type="expression" priority="295" dxfId="131">
      <formula>=LEN(TRIM(C9))=0</formula>
    </cfRule>
    <cfRule type="cellIs" priority="296" operator="greaterThanOrEqual" dxfId="130">
      <formula>4.5</formula>
    </cfRule>
    <cfRule type="cellIs" priority="297" operator="greaterThanOrEqual" dxfId="129">
      <formula>3.5</formula>
    </cfRule>
    <cfRule type="cellIs" priority="298" operator="greaterThanOrEqual" dxfId="128">
      <formula>2.5</formula>
    </cfRule>
    <cfRule type="cellIs" priority="299" operator="greaterThanOrEqual" dxfId="127">
      <formula>1.5</formula>
    </cfRule>
    <cfRule type="cellIs" priority="300" operator="lessThan" dxfId="126">
      <formula>1.5</formula>
    </cfRule>
  </conditionalFormatting>
  <conditionalFormatting sqref="C10:O10">
    <cfRule type="expression" priority="301" dxfId="131">
      <formula>=LEN(TRIM(C10))=0</formula>
    </cfRule>
    <cfRule type="cellIs" priority="302" operator="greaterThanOrEqual" dxfId="130">
      <formula>4.5</formula>
    </cfRule>
    <cfRule type="cellIs" priority="303" operator="greaterThanOrEqual" dxfId="129">
      <formula>3.5</formula>
    </cfRule>
    <cfRule type="cellIs" priority="304" operator="greaterThanOrEqual" dxfId="128">
      <formula>2.5</formula>
    </cfRule>
    <cfRule type="cellIs" priority="305" operator="greaterThanOrEqual" dxfId="127">
      <formula>1.5</formula>
    </cfRule>
    <cfRule type="cellIs" priority="306" operator="lessThan" dxfId="126">
      <formula>1.5</formula>
    </cfRule>
  </conditionalFormatting>
  <conditionalFormatting sqref="C11:O11">
    <cfRule type="expression" priority="307" dxfId="131">
      <formula>=LEN(TRIM(C11))=0</formula>
    </cfRule>
    <cfRule type="cellIs" priority="308" operator="greaterThanOrEqual" dxfId="130">
      <formula>4.5</formula>
    </cfRule>
    <cfRule type="cellIs" priority="309" operator="greaterThanOrEqual" dxfId="129">
      <formula>3.5</formula>
    </cfRule>
    <cfRule type="cellIs" priority="310" operator="greaterThanOrEqual" dxfId="128">
      <formula>2.5</formula>
    </cfRule>
    <cfRule type="cellIs" priority="311" operator="greaterThanOrEqual" dxfId="127">
      <formula>1.5</formula>
    </cfRule>
    <cfRule type="cellIs" priority="312" operator="lessThan" dxfId="126">
      <formula>1.5</formula>
    </cfRule>
  </conditionalFormatting>
  <pageMargins left="0.7" right="0.7" top="0.75" bottom="0.75" header="0.3" footer="0.3"/>
  <pageSetup orientation="portrait"/>
  <legacyDrawing xmlns:r="http://schemas.openxmlformats.org/officeDocument/2006/relationships" r:id="anysvml"/>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C2:AN40"/>
  <sheetViews>
    <sheetView workbookViewId="0">
      <pane xSplit="4" topLeftCell="E5" activePane="topRight" state="frozen"/>
      <selection pane="topRight" activeCell="E5" sqref="E5:G5"/>
    </sheetView>
  </sheetViews>
  <sheetFormatPr baseColWidth="8" defaultColWidth="9.140625" defaultRowHeight="15"/>
  <cols>
    <col width="9.140625" customWidth="1" style="53" min="1" max="52"/>
    <col width="9.140625" customWidth="1" style="53" min="53" max="16384"/>
  </cols>
  <sheetData>
    <row r="2">
      <c r="C2" s="99" t="inlineStr">
        <is>
          <t>CEASED SERVICES LOG</t>
        </is>
      </c>
      <c r="D2" s="100" t="n"/>
      <c r="E2" s="101" t="n"/>
      <c r="F2" s="101" t="n"/>
      <c r="G2" s="101" t="n"/>
      <c r="H2" s="101" t="n"/>
      <c r="I2" s="101" t="n"/>
      <c r="J2" s="101" t="n"/>
      <c r="K2" s="101" t="n"/>
      <c r="L2" s="101" t="n"/>
      <c r="M2" s="101" t="n"/>
      <c r="N2" s="101" t="n"/>
      <c r="O2" s="101" t="n"/>
      <c r="P2" s="101" t="n"/>
      <c r="Q2" s="101" t="n"/>
      <c r="R2" s="101" t="n"/>
      <c r="S2" s="101" t="n"/>
      <c r="T2" s="101" t="n"/>
      <c r="U2" s="101" t="n"/>
      <c r="V2" s="101" t="n"/>
      <c r="W2" s="101" t="n"/>
      <c r="X2" s="101" t="n"/>
      <c r="Y2" s="101" t="n"/>
      <c r="Z2" s="101" t="n"/>
      <c r="AA2" s="101" t="n"/>
      <c r="AB2" s="101" t="n"/>
      <c r="AC2" s="101" t="n"/>
      <c r="AD2" s="101" t="n"/>
      <c r="AE2" s="101" t="n"/>
      <c r="AF2" s="101" t="n"/>
      <c r="AG2" s="101" t="n"/>
      <c r="AH2" s="101" t="n"/>
      <c r="AI2" s="101" t="n"/>
      <c r="AJ2" s="101" t="n"/>
      <c r="AK2" s="101" t="n"/>
      <c r="AL2" s="101" t="n"/>
      <c r="AM2" s="101" t="n"/>
      <c r="AN2" s="101" t="n"/>
    </row>
    <row r="4">
      <c r="C4" s="101" t="n"/>
      <c r="D4" s="101" t="n"/>
      <c r="E4" s="101" t="n"/>
      <c r="F4" s="101" t="n"/>
      <c r="G4" s="101" t="n"/>
      <c r="H4" s="101" t="n"/>
      <c r="I4" s="101" t="n"/>
      <c r="J4" s="101" t="n"/>
      <c r="K4" s="101" t="n"/>
      <c r="L4" s="101" t="n"/>
      <c r="M4" s="101" t="n"/>
      <c r="N4" s="101" t="n"/>
      <c r="O4" s="101" t="n"/>
      <c r="P4" s="101" t="n"/>
      <c r="Q4" s="101" t="n"/>
      <c r="R4" s="101" t="n"/>
      <c r="S4" s="101" t="n"/>
      <c r="T4" s="101" t="n"/>
      <c r="U4" s="101" t="n"/>
      <c r="V4" s="101" t="n"/>
      <c r="W4" s="101" t="n"/>
      <c r="X4" s="101" t="n"/>
      <c r="Y4" s="101" t="n"/>
      <c r="Z4" s="101" t="n"/>
      <c r="AA4" s="101" t="n"/>
      <c r="AB4" s="101" t="n"/>
      <c r="AC4" s="101" t="n"/>
      <c r="AD4" s="101" t="n"/>
      <c r="AE4" s="101" t="n"/>
      <c r="AF4" s="101" t="n"/>
      <c r="AG4" s="101" t="n"/>
      <c r="AH4" s="101" t="n"/>
      <c r="AI4" s="101" t="n"/>
      <c r="AJ4" s="101" t="n"/>
      <c r="AK4" s="101" t="n"/>
      <c r="AL4" s="101" t="n"/>
      <c r="AM4" s="101" t="n"/>
      <c r="AN4" s="101" t="n"/>
    </row>
    <row r="5" customFormat="1" s="56">
      <c r="C5" s="57" t="n"/>
      <c r="D5" s="58" t="n"/>
      <c r="E5" s="214" t="inlineStr">
        <is>
          <t>January 2026</t>
        </is>
      </c>
      <c r="F5" s="243" t="n"/>
      <c r="G5" s="243" t="n"/>
      <c r="H5" s="214" t="inlineStr">
        <is>
          <t>February 2026</t>
        </is>
      </c>
      <c r="I5" s="243" t="n"/>
      <c r="J5" s="243" t="n"/>
      <c r="K5" s="215" t="inlineStr">
        <is>
          <t>March 2026</t>
        </is>
      </c>
      <c r="L5" s="243" t="n"/>
      <c r="M5" s="245" t="n"/>
      <c r="N5" s="215" t="inlineStr">
        <is>
          <t>April 2026</t>
        </is>
      </c>
      <c r="O5" s="243" t="n"/>
      <c r="P5" s="245" t="n"/>
      <c r="Q5" s="214" t="inlineStr">
        <is>
          <t>May 2026</t>
        </is>
      </c>
      <c r="R5" s="243" t="n"/>
      <c r="S5" s="243" t="n"/>
      <c r="T5" s="216" t="inlineStr">
        <is>
          <t>June 2026</t>
        </is>
      </c>
      <c r="U5" s="238" t="n"/>
      <c r="V5" s="239" t="n"/>
      <c r="W5" s="217" t="inlineStr">
        <is>
          <t>July 2026</t>
        </is>
      </c>
      <c r="X5" s="243" t="n"/>
      <c r="Y5" s="243" t="n"/>
      <c r="Z5" s="214" t="inlineStr">
        <is>
          <t>August 2026</t>
        </is>
      </c>
      <c r="AA5" s="243" t="n"/>
      <c r="AB5" s="243" t="n"/>
      <c r="AC5" s="215" t="inlineStr">
        <is>
          <t>September 2026</t>
        </is>
      </c>
      <c r="AD5" s="243" t="n"/>
      <c r="AE5" s="245" t="n"/>
      <c r="AF5" s="215" t="inlineStr">
        <is>
          <t>October 2026</t>
        </is>
      </c>
      <c r="AG5" s="243" t="n"/>
      <c r="AH5" s="245" t="n"/>
      <c r="AI5" s="214" t="inlineStr">
        <is>
          <t>November 2026</t>
        </is>
      </c>
      <c r="AJ5" s="243" t="n"/>
      <c r="AK5" s="243" t="n"/>
      <c r="AL5" s="218" t="inlineStr">
        <is>
          <t>December 2026</t>
        </is>
      </c>
      <c r="AM5" s="243" t="n"/>
      <c r="AN5" s="244" t="n"/>
    </row>
    <row r="6">
      <c r="C6" s="59" t="inlineStr">
        <is>
          <t>Team</t>
        </is>
      </c>
      <c r="D6" s="54" t="inlineStr">
        <is>
          <t>Therapist</t>
        </is>
      </c>
      <c r="E6" s="102" t="inlineStr">
        <is>
          <t xml:space="preserve">Active </t>
        </is>
      </c>
      <c r="F6" s="102" t="inlineStr">
        <is>
          <t>Ceased</t>
        </is>
      </c>
      <c r="G6" s="103" t="inlineStr">
        <is>
          <t>%</t>
        </is>
      </c>
      <c r="H6" s="102" t="inlineStr">
        <is>
          <t xml:space="preserve">Active </t>
        </is>
      </c>
      <c r="I6" s="102" t="inlineStr">
        <is>
          <t>Ceased</t>
        </is>
      </c>
      <c r="J6" s="103" t="inlineStr">
        <is>
          <t>%</t>
        </is>
      </c>
      <c r="K6" s="102" t="inlineStr">
        <is>
          <t xml:space="preserve">Active </t>
        </is>
      </c>
      <c r="L6" s="102" t="inlineStr">
        <is>
          <t>Ceased</t>
        </is>
      </c>
      <c r="M6" s="103" t="inlineStr">
        <is>
          <t>%</t>
        </is>
      </c>
      <c r="N6" s="102" t="inlineStr">
        <is>
          <t xml:space="preserve">Active </t>
        </is>
      </c>
      <c r="O6" s="102" t="inlineStr">
        <is>
          <t>Ceased</t>
        </is>
      </c>
      <c r="P6" s="103" t="inlineStr">
        <is>
          <t>%</t>
        </is>
      </c>
      <c r="Q6" s="102" t="inlineStr">
        <is>
          <t xml:space="preserve">Active </t>
        </is>
      </c>
      <c r="R6" s="102" t="inlineStr">
        <is>
          <t>Ceased</t>
        </is>
      </c>
      <c r="S6" s="103" t="inlineStr">
        <is>
          <t>%</t>
        </is>
      </c>
      <c r="T6" s="102" t="inlineStr">
        <is>
          <t xml:space="preserve">Active </t>
        </is>
      </c>
      <c r="U6" s="102" t="inlineStr">
        <is>
          <t>Ceased</t>
        </is>
      </c>
      <c r="V6" s="103" t="inlineStr">
        <is>
          <t>%</t>
        </is>
      </c>
      <c r="W6" s="102" t="inlineStr">
        <is>
          <t xml:space="preserve">Active </t>
        </is>
      </c>
      <c r="X6" s="102" t="inlineStr">
        <is>
          <t>Ceased</t>
        </is>
      </c>
      <c r="Y6" s="103" t="inlineStr">
        <is>
          <t>%</t>
        </is>
      </c>
      <c r="Z6" s="102" t="inlineStr">
        <is>
          <t xml:space="preserve">Active </t>
        </is>
      </c>
      <c r="AA6" s="102" t="inlineStr">
        <is>
          <t>Ceased</t>
        </is>
      </c>
      <c r="AB6" s="103" t="inlineStr">
        <is>
          <t>%</t>
        </is>
      </c>
      <c r="AC6" s="102" t="inlineStr">
        <is>
          <t xml:space="preserve">Active </t>
        </is>
      </c>
      <c r="AD6" s="102" t="inlineStr">
        <is>
          <t>Ceased</t>
        </is>
      </c>
      <c r="AE6" s="103" t="inlineStr">
        <is>
          <t>%</t>
        </is>
      </c>
      <c r="AF6" s="102" t="inlineStr">
        <is>
          <t xml:space="preserve">Active </t>
        </is>
      </c>
      <c r="AG6" s="102" t="inlineStr">
        <is>
          <t>Ceased</t>
        </is>
      </c>
      <c r="AH6" s="103" t="inlineStr">
        <is>
          <t>%</t>
        </is>
      </c>
      <c r="AI6" s="102" t="inlineStr">
        <is>
          <t xml:space="preserve">Active </t>
        </is>
      </c>
      <c r="AJ6" s="102" t="inlineStr">
        <is>
          <t>Ceased</t>
        </is>
      </c>
      <c r="AK6" s="103" t="inlineStr">
        <is>
          <t>%</t>
        </is>
      </c>
      <c r="AL6" s="102" t="inlineStr">
        <is>
          <t xml:space="preserve">Active </t>
        </is>
      </c>
      <c r="AM6" s="102" t="inlineStr">
        <is>
          <t>Ceased</t>
        </is>
      </c>
      <c r="AN6" s="60" t="inlineStr">
        <is>
          <t>%</t>
        </is>
      </c>
    </row>
    <row r="7">
      <c r="C7" s="61" t="inlineStr">
        <is>
          <t>North</t>
        </is>
      </c>
      <c r="D7" s="55" t="inlineStr">
        <is>
          <t>Marco</t>
        </is>
      </c>
      <c r="E7" s="102" t="n">
        <v>42</v>
      </c>
      <c r="F7" s="102" t="n">
        <v>0</v>
      </c>
      <c r="G7" s="104">
        <f>IF(OR(E7="", F7=""), "", F7/E7)</f>
        <v/>
      </c>
      <c r="H7" s="102" t="n">
        <v>44</v>
      </c>
      <c r="I7" s="102" t="n">
        <v>0</v>
      </c>
      <c r="J7" s="104">
        <f>IF(OR(H7="", I7=""), "", I7/H7)</f>
        <v/>
      </c>
      <c r="K7" s="102" t="n">
        <v>47</v>
      </c>
      <c r="L7" s="102" t="n">
        <v>1</v>
      </c>
      <c r="M7" s="104">
        <f>IF(OR(K7="", L7=""), "", L7/K7)</f>
        <v/>
      </c>
      <c r="N7" s="102" t="n">
        <v>46</v>
      </c>
      <c r="O7" s="102" t="n">
        <v>3</v>
      </c>
      <c r="P7" s="104">
        <f>IF(OR(N7="", O7=""), "", O7/N7)</f>
        <v/>
      </c>
      <c r="Q7" s="102" t="n"/>
      <c r="R7" s="102" t="n"/>
      <c r="S7" s="104" t="n"/>
      <c r="T7" s="102" t="n"/>
      <c r="U7" s="102" t="n"/>
      <c r="V7" s="104" t="n"/>
      <c r="W7" s="102" t="n">
        <v>42</v>
      </c>
      <c r="X7" s="102" t="n">
        <v>0</v>
      </c>
      <c r="Y7" s="104">
        <f>IF(OR(W7="", X7=""), "", X7/W7)</f>
        <v/>
      </c>
      <c r="Z7" s="102" t="n">
        <v>44</v>
      </c>
      <c r="AA7" s="102" t="n">
        <v>0</v>
      </c>
      <c r="AB7" s="104">
        <f>IF(OR(Z7="", AA7=""), "", AA7/Z7)</f>
        <v/>
      </c>
      <c r="AC7" s="102" t="n">
        <v>47</v>
      </c>
      <c r="AD7" s="102" t="n">
        <v>1</v>
      </c>
      <c r="AE7" s="104">
        <f>IF(OR(AC7="", AD7=""), "", AD7/AC7)</f>
        <v/>
      </c>
      <c r="AF7" s="102" t="n">
        <v>46</v>
      </c>
      <c r="AG7" s="102" t="n">
        <v>3</v>
      </c>
      <c r="AH7" s="104">
        <f>IF(OR(AF7="", AG7=""), "", AG7/AF7)</f>
        <v/>
      </c>
      <c r="AI7" s="102" t="n"/>
      <c r="AJ7" s="102" t="n"/>
      <c r="AK7" s="104" t="n"/>
      <c r="AL7" s="102" t="n"/>
      <c r="AM7" s="102" t="n"/>
      <c r="AN7" s="62" t="n"/>
    </row>
    <row r="8">
      <c r="C8" s="61" t="inlineStr">
        <is>
          <t>North</t>
        </is>
      </c>
      <c r="D8" s="55" t="inlineStr">
        <is>
          <t>Simran</t>
        </is>
      </c>
      <c r="E8" s="102" t="n">
        <v>47</v>
      </c>
      <c r="F8" s="102" t="n">
        <v>2</v>
      </c>
      <c r="G8" s="104">
        <f>IF(OR(E8="", F8=""), "", F8/E8)</f>
        <v/>
      </c>
      <c r="H8" s="102" t="n">
        <v>48</v>
      </c>
      <c r="I8" s="102" t="n">
        <v>1</v>
      </c>
      <c r="J8" s="104">
        <f>IF(OR(H8="", I8=""), "", I8/H8)</f>
        <v/>
      </c>
      <c r="K8" s="102" t="n">
        <v>51</v>
      </c>
      <c r="L8" s="102" t="n">
        <v>3</v>
      </c>
      <c r="M8" s="104">
        <f>IF(OR(K8="", L8=""), "", L8/K8)</f>
        <v/>
      </c>
      <c r="N8" s="102" t="n">
        <v>53</v>
      </c>
      <c r="O8" s="102" t="n">
        <v>0</v>
      </c>
      <c r="P8" s="104">
        <f>IF(OR(N8="", O8=""), "", O8/N8)</f>
        <v/>
      </c>
      <c r="Q8" s="102" t="n"/>
      <c r="R8" s="102" t="n"/>
      <c r="S8" s="104" t="n"/>
      <c r="T8" s="102" t="n"/>
      <c r="U8" s="102" t="n"/>
      <c r="V8" s="104" t="n"/>
      <c r="W8" s="102" t="n">
        <v>47</v>
      </c>
      <c r="X8" s="102" t="n">
        <v>2</v>
      </c>
      <c r="Y8" s="104">
        <f>IF(OR(W8="", X8=""), "", X8/W8)</f>
        <v/>
      </c>
      <c r="Z8" s="102" t="n">
        <v>48</v>
      </c>
      <c r="AA8" s="102" t="n">
        <v>1</v>
      </c>
      <c r="AB8" s="104">
        <f>IF(OR(Z8="", AA8=""), "", AA8/Z8)</f>
        <v/>
      </c>
      <c r="AC8" s="102" t="n">
        <v>51</v>
      </c>
      <c r="AD8" s="102" t="n">
        <v>3</v>
      </c>
      <c r="AE8" s="104">
        <f>IF(OR(AC8="", AD8=""), "", AD8/AC8)</f>
        <v/>
      </c>
      <c r="AF8" s="102" t="n">
        <v>53</v>
      </c>
      <c r="AG8" s="102" t="n">
        <v>0</v>
      </c>
      <c r="AH8" s="104">
        <f>IF(OR(AF8="", AG8=""), "", AG8/AF8)</f>
        <v/>
      </c>
      <c r="AI8" s="102" t="n"/>
      <c r="AJ8" s="102" t="n"/>
      <c r="AK8" s="104" t="n"/>
      <c r="AL8" s="102" t="n"/>
      <c r="AM8" s="102" t="n"/>
      <c r="AN8" s="62" t="n"/>
    </row>
    <row r="9">
      <c r="C9" s="61" t="inlineStr">
        <is>
          <t>North</t>
        </is>
      </c>
      <c r="D9" s="55" t="inlineStr">
        <is>
          <t>Jay</t>
        </is>
      </c>
      <c r="E9" s="102" t="n">
        <v>61</v>
      </c>
      <c r="F9" s="102" t="n">
        <v>5</v>
      </c>
      <c r="G9" s="104">
        <f>IF(OR(E9="", F9=""), "", F9/E9)</f>
        <v/>
      </c>
      <c r="H9" s="102" t="n">
        <v>57</v>
      </c>
      <c r="I9" s="102" t="n">
        <v>6</v>
      </c>
      <c r="J9" s="104">
        <f>IF(OR(H9="", I9=""), "", I9/H9)</f>
        <v/>
      </c>
      <c r="K9" s="102" t="n">
        <v>58</v>
      </c>
      <c r="L9" s="102" t="n">
        <v>2</v>
      </c>
      <c r="M9" s="104">
        <f>IF(OR(K9="", L9=""), "", L9/K9)</f>
        <v/>
      </c>
      <c r="N9" s="102" t="n">
        <v>58</v>
      </c>
      <c r="O9" s="102" t="n">
        <v>4</v>
      </c>
      <c r="P9" s="104">
        <f>IF(OR(N9="", O9=""), "", O9/N9)</f>
        <v/>
      </c>
      <c r="Q9" s="102" t="n"/>
      <c r="R9" s="102" t="n"/>
      <c r="S9" s="104" t="n"/>
      <c r="T9" s="102" t="n"/>
      <c r="U9" s="102" t="n"/>
      <c r="V9" s="104" t="n"/>
      <c r="W9" s="102" t="n">
        <v>61</v>
      </c>
      <c r="X9" s="102" t="n">
        <v>5</v>
      </c>
      <c r="Y9" s="104">
        <f>IF(OR(W9="", X9=""), "", X9/W9)</f>
        <v/>
      </c>
      <c r="Z9" s="102" t="n">
        <v>57</v>
      </c>
      <c r="AA9" s="102" t="n">
        <v>6</v>
      </c>
      <c r="AB9" s="104">
        <f>IF(OR(Z9="", AA9=""), "", AA9/Z9)</f>
        <v/>
      </c>
      <c r="AC9" s="102" t="n">
        <v>58</v>
      </c>
      <c r="AD9" s="102" t="n">
        <v>2</v>
      </c>
      <c r="AE9" s="104">
        <f>IF(OR(AC9="", AD9=""), "", AD9/AC9)</f>
        <v/>
      </c>
      <c r="AF9" s="102" t="n">
        <v>58</v>
      </c>
      <c r="AG9" s="102" t="n">
        <v>4</v>
      </c>
      <c r="AH9" s="104">
        <f>IF(OR(AF9="", AG9=""), "", AG9/AF9)</f>
        <v/>
      </c>
      <c r="AI9" s="102" t="n"/>
      <c r="AJ9" s="102" t="n"/>
      <c r="AK9" s="104" t="n"/>
      <c r="AL9" s="102" t="n"/>
      <c r="AM9" s="102" t="n"/>
      <c r="AN9" s="62" t="n"/>
    </row>
    <row r="10">
      <c r="C10" s="61" t="inlineStr">
        <is>
          <t>North</t>
        </is>
      </c>
      <c r="D10" s="55" t="inlineStr">
        <is>
          <t>Danny</t>
        </is>
      </c>
      <c r="E10" s="102" t="n">
        <v>23</v>
      </c>
      <c r="F10" s="102" t="n">
        <v>0</v>
      </c>
      <c r="G10" s="104">
        <f>IF(OR(E10="", F10=""), "", F10/E10)</f>
        <v/>
      </c>
      <c r="H10" s="102" t="n">
        <v>25</v>
      </c>
      <c r="I10" s="102" t="n">
        <v>1</v>
      </c>
      <c r="J10" s="104">
        <f>IF(OR(H10="", I10=""), "", I10/H10)</f>
        <v/>
      </c>
      <c r="K10" s="102" t="n">
        <v>20</v>
      </c>
      <c r="L10" s="102" t="n">
        <v>0</v>
      </c>
      <c r="M10" s="104">
        <f>IF(OR(K10="", L10=""), "", L10/K10)</f>
        <v/>
      </c>
      <c r="N10" s="102" t="n">
        <v>20</v>
      </c>
      <c r="O10" s="102" t="n">
        <v>0</v>
      </c>
      <c r="P10" s="104">
        <f>IF(OR(N10="", O10=""), "", O10/N10)</f>
        <v/>
      </c>
      <c r="Q10" s="102" t="n"/>
      <c r="R10" s="102" t="n"/>
      <c r="S10" s="104" t="n"/>
      <c r="T10" s="102" t="n"/>
      <c r="U10" s="102" t="n"/>
      <c r="V10" s="104" t="n"/>
      <c r="W10" s="102" t="n">
        <v>23</v>
      </c>
      <c r="X10" s="102" t="n">
        <v>0</v>
      </c>
      <c r="Y10" s="104">
        <f>IF(OR(W10="", X10=""), "", X10/W10)</f>
        <v/>
      </c>
      <c r="Z10" s="102" t="n">
        <v>25</v>
      </c>
      <c r="AA10" s="102" t="n">
        <v>1</v>
      </c>
      <c r="AB10" s="104">
        <f>IF(OR(Z10="", AA10=""), "", AA10/Z10)</f>
        <v/>
      </c>
      <c r="AC10" s="102" t="n">
        <v>20</v>
      </c>
      <c r="AD10" s="102" t="n">
        <v>0</v>
      </c>
      <c r="AE10" s="104">
        <f>IF(OR(AC10="", AD10=""), "", AD10/AC10)</f>
        <v/>
      </c>
      <c r="AF10" s="102" t="n">
        <v>20</v>
      </c>
      <c r="AG10" s="102" t="n">
        <v>0</v>
      </c>
      <c r="AH10" s="104">
        <f>IF(OR(AF10="", AG10=""), "", AG10/AF10)</f>
        <v/>
      </c>
      <c r="AI10" s="102" t="n"/>
      <c r="AJ10" s="102" t="n"/>
      <c r="AK10" s="104" t="n"/>
      <c r="AL10" s="102" t="n"/>
      <c r="AM10" s="102" t="n"/>
      <c r="AN10" s="62" t="n"/>
    </row>
    <row r="11">
      <c r="C11" s="61" t="inlineStr">
        <is>
          <t>North</t>
        </is>
      </c>
      <c r="D11" s="55" t="inlineStr">
        <is>
          <t>Chris</t>
        </is>
      </c>
      <c r="E11" s="102" t="n">
        <v>39</v>
      </c>
      <c r="F11" s="102" t="n">
        <v>0</v>
      </c>
      <c r="G11" s="104">
        <f>IF(OR(E11="", F11=""), "", F11/E11)</f>
        <v/>
      </c>
      <c r="H11" s="102" t="n">
        <v>43</v>
      </c>
      <c r="I11" s="102" t="n">
        <v>2</v>
      </c>
      <c r="J11" s="104">
        <f>IF(OR(H11="", I11=""), "", I11/H11)</f>
        <v/>
      </c>
      <c r="K11" s="102" t="n">
        <v>42</v>
      </c>
      <c r="L11" s="102" t="n">
        <v>1</v>
      </c>
      <c r="M11" s="104">
        <f>IF(OR(K11="", L11=""), "", L11/K11)</f>
        <v/>
      </c>
      <c r="N11" s="102" t="n">
        <v>49</v>
      </c>
      <c r="O11" s="102" t="n">
        <v>3</v>
      </c>
      <c r="P11" s="104">
        <f>IF(OR(N11="", O11=""), "", O11/N11)</f>
        <v/>
      </c>
      <c r="Q11" s="102" t="n"/>
      <c r="R11" s="102" t="n"/>
      <c r="S11" s="104" t="n"/>
      <c r="T11" s="102" t="n"/>
      <c r="U11" s="102" t="n"/>
      <c r="V11" s="104" t="n"/>
      <c r="W11" s="102" t="n">
        <v>39</v>
      </c>
      <c r="X11" s="102" t="n">
        <v>0</v>
      </c>
      <c r="Y11" s="104">
        <f>IF(OR(W11="", X11=""), "", X11/W11)</f>
        <v/>
      </c>
      <c r="Z11" s="102" t="n">
        <v>43</v>
      </c>
      <c r="AA11" s="102" t="n">
        <v>2</v>
      </c>
      <c r="AB11" s="104">
        <f>IF(OR(Z11="", AA11=""), "", AA11/Z11)</f>
        <v/>
      </c>
      <c r="AC11" s="102" t="n">
        <v>42</v>
      </c>
      <c r="AD11" s="102" t="n">
        <v>1</v>
      </c>
      <c r="AE11" s="104">
        <f>IF(OR(AC11="", AD11=""), "", AD11/AC11)</f>
        <v/>
      </c>
      <c r="AF11" s="102" t="n">
        <v>49</v>
      </c>
      <c r="AG11" s="102" t="n">
        <v>3</v>
      </c>
      <c r="AH11" s="104">
        <f>IF(OR(AF11="", AG11=""), "", AG11/AF11)</f>
        <v/>
      </c>
      <c r="AI11" s="102" t="n"/>
      <c r="AJ11" s="102" t="n"/>
      <c r="AK11" s="104" t="n"/>
      <c r="AL11" s="102" t="n"/>
      <c r="AM11" s="102" t="n"/>
      <c r="AN11" s="62" t="n"/>
    </row>
    <row r="12">
      <c r="C12" s="61" t="inlineStr">
        <is>
          <t>North</t>
        </is>
      </c>
      <c r="D12" s="55" t="inlineStr">
        <is>
          <t>Alice</t>
        </is>
      </c>
      <c r="E12" s="102" t="n">
        <v>54</v>
      </c>
      <c r="F12" s="102" t="n">
        <v>4</v>
      </c>
      <c r="G12" s="104">
        <f>IF(OR(E12="", F12=""), "", F12/E12)</f>
        <v/>
      </c>
      <c r="H12" s="102" t="n">
        <v>55</v>
      </c>
      <c r="I12" s="102" t="n">
        <v>6</v>
      </c>
      <c r="J12" s="104">
        <f>IF(OR(H12="", I12=""), "", I12/H12)</f>
        <v/>
      </c>
      <c r="K12" s="102" t="n">
        <v>57</v>
      </c>
      <c r="L12" s="102" t="n">
        <v>1</v>
      </c>
      <c r="M12" s="104">
        <f>IF(OR(K12="", L12=""), "", L12/K12)</f>
        <v/>
      </c>
      <c r="N12" s="102" t="n">
        <v>54</v>
      </c>
      <c r="O12" s="102" t="n">
        <v>4</v>
      </c>
      <c r="P12" s="104">
        <f>IF(OR(N12="", O12=""), "", O12/N12)</f>
        <v/>
      </c>
      <c r="Q12" s="102" t="n"/>
      <c r="R12" s="102" t="n"/>
      <c r="S12" s="104" t="n"/>
      <c r="T12" s="102" t="n"/>
      <c r="U12" s="102" t="n"/>
      <c r="V12" s="104" t="n"/>
      <c r="W12" s="102" t="n">
        <v>54</v>
      </c>
      <c r="X12" s="102" t="n">
        <v>4</v>
      </c>
      <c r="Y12" s="104">
        <f>IF(OR(W12="", X12=""), "", X12/W12)</f>
        <v/>
      </c>
      <c r="Z12" s="102" t="n">
        <v>55</v>
      </c>
      <c r="AA12" s="102" t="n">
        <v>6</v>
      </c>
      <c r="AB12" s="104">
        <f>IF(OR(Z12="", AA12=""), "", AA12/Z12)</f>
        <v/>
      </c>
      <c r="AC12" s="102" t="n">
        <v>57</v>
      </c>
      <c r="AD12" s="102" t="n">
        <v>1</v>
      </c>
      <c r="AE12" s="104">
        <f>IF(OR(AC12="", AD12=""), "", AD12/AC12)</f>
        <v/>
      </c>
      <c r="AF12" s="102" t="n">
        <v>54</v>
      </c>
      <c r="AG12" s="102" t="n">
        <v>4</v>
      </c>
      <c r="AH12" s="104">
        <f>IF(OR(AF12="", AG12=""), "", AG12/AF12)</f>
        <v/>
      </c>
      <c r="AI12" s="102" t="n"/>
      <c r="AJ12" s="102" t="n"/>
      <c r="AK12" s="104" t="n"/>
      <c r="AL12" s="102" t="n"/>
      <c r="AM12" s="102" t="n"/>
      <c r="AN12" s="62" t="n"/>
    </row>
    <row r="13">
      <c r="C13" s="61" t="inlineStr">
        <is>
          <t>North</t>
        </is>
      </c>
      <c r="D13" s="55" t="inlineStr">
        <is>
          <t>Elizabeth</t>
        </is>
      </c>
      <c r="E13" s="105" t="n"/>
      <c r="F13" s="105" t="n"/>
      <c r="G13" s="106">
        <f>IF(OR(E13="", F13=""), "", F13/E13)</f>
        <v/>
      </c>
      <c r="H13" s="102" t="n">
        <v>11</v>
      </c>
      <c r="I13" s="102" t="n">
        <v>1</v>
      </c>
      <c r="J13" s="104">
        <f>IF(OR(H13="", I13=""), "", I13/H13)</f>
        <v/>
      </c>
      <c r="K13" s="102" t="n">
        <v>14</v>
      </c>
      <c r="L13" s="102" t="n">
        <v>0</v>
      </c>
      <c r="M13" s="104">
        <f>IF(OR(K13="", L13=""), "", L13/K13)</f>
        <v/>
      </c>
      <c r="N13" s="102" t="n">
        <v>15</v>
      </c>
      <c r="O13" s="102" t="n">
        <v>0</v>
      </c>
      <c r="P13" s="104">
        <f>IF(OR(N13="", O13=""), "", O13/N13)</f>
        <v/>
      </c>
      <c r="Q13" s="102" t="n"/>
      <c r="R13" s="102" t="n"/>
      <c r="S13" s="104" t="n"/>
      <c r="T13" s="102" t="n"/>
      <c r="U13" s="102" t="n"/>
      <c r="V13" s="104" t="n"/>
      <c r="W13" s="105" t="n"/>
      <c r="X13" s="105" t="n"/>
      <c r="Y13" s="106">
        <f>IF(OR(W13="", X13=""), "", X13/W13)</f>
        <v/>
      </c>
      <c r="Z13" s="102" t="n">
        <v>11</v>
      </c>
      <c r="AA13" s="102" t="n">
        <v>1</v>
      </c>
      <c r="AB13" s="104">
        <f>IF(OR(Z13="", AA13=""), "", AA13/Z13)</f>
        <v/>
      </c>
      <c r="AC13" s="102" t="n">
        <v>14</v>
      </c>
      <c r="AD13" s="102" t="n">
        <v>0</v>
      </c>
      <c r="AE13" s="104">
        <f>IF(OR(AC13="", AD13=""), "", AD13/AC13)</f>
        <v/>
      </c>
      <c r="AF13" s="102" t="n">
        <v>15</v>
      </c>
      <c r="AG13" s="102" t="n">
        <v>0</v>
      </c>
      <c r="AH13" s="104">
        <f>IF(OR(AF13="", AG13=""), "", AG13/AF13)</f>
        <v/>
      </c>
      <c r="AI13" s="102" t="n"/>
      <c r="AJ13" s="102" t="n"/>
      <c r="AK13" s="104" t="n"/>
      <c r="AL13" s="102" t="n"/>
      <c r="AM13" s="102" t="n"/>
      <c r="AN13" s="62" t="n"/>
    </row>
    <row r="14">
      <c r="C14" s="61" t="inlineStr">
        <is>
          <t>North</t>
        </is>
      </c>
      <c r="D14" s="55" t="inlineStr">
        <is>
          <t>Eva</t>
        </is>
      </c>
      <c r="E14" s="102" t="n">
        <v>41</v>
      </c>
      <c r="F14" s="102" t="n">
        <v>3</v>
      </c>
      <c r="G14" s="104">
        <f>IF(OR(E14="", F14=""), "", F14/E14)</f>
        <v/>
      </c>
      <c r="H14" s="102" t="n">
        <v>43</v>
      </c>
      <c r="I14" s="102" t="n">
        <v>2</v>
      </c>
      <c r="J14" s="104">
        <f>IF(OR(H14="", I14=""), "", I14/H14)</f>
        <v/>
      </c>
      <c r="K14" s="102" t="n">
        <v>40</v>
      </c>
      <c r="L14" s="102" t="n">
        <v>2</v>
      </c>
      <c r="M14" s="104">
        <f>IF(OR(K14="", L14=""), "", L14/K14)</f>
        <v/>
      </c>
      <c r="N14" s="102" t="n">
        <v>49</v>
      </c>
      <c r="O14" s="102" t="n">
        <v>1</v>
      </c>
      <c r="P14" s="104">
        <f>IF(OR(N14="", O14=""), "", O14/N14)</f>
        <v/>
      </c>
      <c r="Q14" s="102" t="n"/>
      <c r="R14" s="102" t="n"/>
      <c r="S14" s="104" t="n"/>
      <c r="T14" s="102" t="n"/>
      <c r="U14" s="102" t="n"/>
      <c r="V14" s="104" t="n"/>
      <c r="W14" s="102" t="n">
        <v>41</v>
      </c>
      <c r="X14" s="102" t="n">
        <v>3</v>
      </c>
      <c r="Y14" s="104">
        <f>IF(OR(W14="", X14=""), "", X14/W14)</f>
        <v/>
      </c>
      <c r="Z14" s="102" t="n">
        <v>43</v>
      </c>
      <c r="AA14" s="102" t="n">
        <v>2</v>
      </c>
      <c r="AB14" s="104">
        <f>IF(OR(Z14="", AA14=""), "", AA14/Z14)</f>
        <v/>
      </c>
      <c r="AC14" s="102" t="n">
        <v>40</v>
      </c>
      <c r="AD14" s="102" t="n">
        <v>2</v>
      </c>
      <c r="AE14" s="104">
        <f>IF(OR(AC14="", AD14=""), "", AD14/AC14)</f>
        <v/>
      </c>
      <c r="AF14" s="102" t="n">
        <v>49</v>
      </c>
      <c r="AG14" s="102" t="n">
        <v>1</v>
      </c>
      <c r="AH14" s="104">
        <f>IF(OR(AF14="", AG14=""), "", AG14/AF14)</f>
        <v/>
      </c>
      <c r="AI14" s="102" t="n"/>
      <c r="AJ14" s="102" t="n"/>
      <c r="AK14" s="104" t="n"/>
      <c r="AL14" s="102" t="n"/>
      <c r="AM14" s="102" t="n"/>
      <c r="AN14" s="62" t="n"/>
    </row>
    <row r="15">
      <c r="C15" s="61" t="inlineStr">
        <is>
          <t>South</t>
        </is>
      </c>
      <c r="D15" s="55" t="inlineStr">
        <is>
          <t>Maddie</t>
        </is>
      </c>
      <c r="E15" s="102" t="n">
        <v>21</v>
      </c>
      <c r="F15" s="102" t="n">
        <v>2</v>
      </c>
      <c r="G15" s="104">
        <f>IF(OR(E15="", F15=""), "", F15/E15)</f>
        <v/>
      </c>
      <c r="H15" s="102" t="n">
        <v>17</v>
      </c>
      <c r="I15" s="102" t="n">
        <v>0</v>
      </c>
      <c r="J15" s="104">
        <f>IF(OR(H15="", I15=""), "", I15/H15)</f>
        <v/>
      </c>
      <c r="K15" s="102" t="n">
        <v>17</v>
      </c>
      <c r="L15" s="102" t="n">
        <v>0</v>
      </c>
      <c r="M15" s="104">
        <f>IF(OR(K15="", L15=""), "", L15/K15)</f>
        <v/>
      </c>
      <c r="N15" s="102" t="n">
        <v>20</v>
      </c>
      <c r="O15" s="102" t="n">
        <v>0</v>
      </c>
      <c r="P15" s="104">
        <f>IF(OR(N15="", O15=""), "", O15/N15)</f>
        <v/>
      </c>
      <c r="Q15" s="102" t="n"/>
      <c r="R15" s="102" t="n"/>
      <c r="S15" s="104" t="n"/>
      <c r="T15" s="102" t="n"/>
      <c r="U15" s="102" t="n"/>
      <c r="V15" s="104" t="n"/>
      <c r="W15" s="102" t="n">
        <v>21</v>
      </c>
      <c r="X15" s="102" t="n">
        <v>2</v>
      </c>
      <c r="Y15" s="104">
        <f>IF(OR(W15="", X15=""), "", X15/W15)</f>
        <v/>
      </c>
      <c r="Z15" s="102" t="n">
        <v>17</v>
      </c>
      <c r="AA15" s="102" t="n">
        <v>0</v>
      </c>
      <c r="AB15" s="104">
        <f>IF(OR(Z15="", AA15=""), "", AA15/Z15)</f>
        <v/>
      </c>
      <c r="AC15" s="102" t="n">
        <v>17</v>
      </c>
      <c r="AD15" s="102" t="n">
        <v>0</v>
      </c>
      <c r="AE15" s="104">
        <f>IF(OR(AC15="", AD15=""), "", AD15/AC15)</f>
        <v/>
      </c>
      <c r="AF15" s="102" t="n">
        <v>20</v>
      </c>
      <c r="AG15" s="102" t="n">
        <v>0</v>
      </c>
      <c r="AH15" s="104">
        <f>IF(OR(AF15="", AG15=""), "", AG15/AF15)</f>
        <v/>
      </c>
      <c r="AI15" s="102" t="n"/>
      <c r="AJ15" s="102" t="n"/>
      <c r="AK15" s="104" t="n"/>
      <c r="AL15" s="102" t="n"/>
      <c r="AM15" s="102" t="n"/>
      <c r="AN15" s="62" t="n"/>
    </row>
    <row r="16">
      <c r="C16" s="61" t="inlineStr">
        <is>
          <t>South</t>
        </is>
      </c>
      <c r="D16" s="55" t="inlineStr">
        <is>
          <t>Stephen</t>
        </is>
      </c>
      <c r="E16" s="102" t="n">
        <v>25</v>
      </c>
      <c r="F16" s="102" t="n">
        <v>3</v>
      </c>
      <c r="G16" s="104">
        <f>IF(OR(E16="", F16=""), "", F16/E16)</f>
        <v/>
      </c>
      <c r="H16" s="102" t="n">
        <v>20</v>
      </c>
      <c r="I16" s="102" t="n">
        <v>1</v>
      </c>
      <c r="J16" s="104">
        <f>IF(OR(H16="", I16=""), "", I16/H16)</f>
        <v/>
      </c>
      <c r="K16" s="102" t="n">
        <v>20</v>
      </c>
      <c r="L16" s="102" t="n">
        <v>0</v>
      </c>
      <c r="M16" s="104">
        <f>IF(OR(K16="", L16=""), "", L16/K16)</f>
        <v/>
      </c>
      <c r="N16" s="102" t="n">
        <v>20</v>
      </c>
      <c r="O16" s="102" t="n">
        <v>0</v>
      </c>
      <c r="P16" s="104">
        <f>IF(OR(N16="", O16=""), "", O16/N16)</f>
        <v/>
      </c>
      <c r="Q16" s="102" t="n"/>
      <c r="R16" s="102" t="n"/>
      <c r="S16" s="104" t="n"/>
      <c r="T16" s="102" t="n"/>
      <c r="U16" s="102" t="n"/>
      <c r="V16" s="104" t="n"/>
      <c r="W16" s="102" t="n">
        <v>25</v>
      </c>
      <c r="X16" s="102" t="n">
        <v>3</v>
      </c>
      <c r="Y16" s="104">
        <f>IF(OR(W16="", X16=""), "", X16/W16)</f>
        <v/>
      </c>
      <c r="Z16" s="102" t="n">
        <v>20</v>
      </c>
      <c r="AA16" s="102" t="n">
        <v>1</v>
      </c>
      <c r="AB16" s="104">
        <f>IF(OR(Z16="", AA16=""), "", AA16/Z16)</f>
        <v/>
      </c>
      <c r="AC16" s="102" t="n">
        <v>20</v>
      </c>
      <c r="AD16" s="102" t="n">
        <v>0</v>
      </c>
      <c r="AE16" s="104">
        <f>IF(OR(AC16="", AD16=""), "", AD16/AC16)</f>
        <v/>
      </c>
      <c r="AF16" s="102" t="n">
        <v>20</v>
      </c>
      <c r="AG16" s="102" t="n">
        <v>0</v>
      </c>
      <c r="AH16" s="104">
        <f>IF(OR(AF16="", AG16=""), "", AG16/AF16)</f>
        <v/>
      </c>
      <c r="AI16" s="102" t="n"/>
      <c r="AJ16" s="102" t="n"/>
      <c r="AK16" s="104" t="n"/>
      <c r="AL16" s="102" t="n"/>
      <c r="AM16" s="102" t="n"/>
      <c r="AN16" s="62" t="n"/>
    </row>
    <row r="17">
      <c r="C17" s="61" t="inlineStr">
        <is>
          <t>South</t>
        </is>
      </c>
      <c r="D17" s="55" t="inlineStr">
        <is>
          <t>Beth</t>
        </is>
      </c>
      <c r="E17" s="102" t="n">
        <v>45</v>
      </c>
      <c r="F17" s="102" t="n">
        <v>1</v>
      </c>
      <c r="G17" s="104">
        <f>IF(OR(E17="", F17=""), "", F17/E17)</f>
        <v/>
      </c>
      <c r="H17" s="102" t="n">
        <v>35</v>
      </c>
      <c r="I17" s="102" t="n">
        <v>2</v>
      </c>
      <c r="J17" s="104">
        <f>IF(OR(H17="", I17=""), "", I17/H17)</f>
        <v/>
      </c>
      <c r="K17" s="102" t="n">
        <v>32</v>
      </c>
      <c r="L17" s="102" t="n">
        <v>1</v>
      </c>
      <c r="M17" s="104">
        <f>IF(OR(K17="", L17=""), "", L17/K17)</f>
        <v/>
      </c>
      <c r="N17" s="102" t="n">
        <v>28</v>
      </c>
      <c r="O17" s="102" t="n">
        <v>0</v>
      </c>
      <c r="P17" s="104">
        <f>IF(OR(N17="", O17=""), "", O17/N17)</f>
        <v/>
      </c>
      <c r="Q17" s="102" t="n"/>
      <c r="R17" s="102" t="n"/>
      <c r="S17" s="104" t="n"/>
      <c r="T17" s="102" t="n"/>
      <c r="U17" s="102" t="n"/>
      <c r="V17" s="104" t="n"/>
      <c r="W17" s="102" t="n">
        <v>45</v>
      </c>
      <c r="X17" s="102" t="n">
        <v>1</v>
      </c>
      <c r="Y17" s="104">
        <f>IF(OR(W17="", X17=""), "", X17/W17)</f>
        <v/>
      </c>
      <c r="Z17" s="102" t="n">
        <v>35</v>
      </c>
      <c r="AA17" s="102" t="n">
        <v>2</v>
      </c>
      <c r="AB17" s="104">
        <f>IF(OR(Z17="", AA17=""), "", AA17/Z17)</f>
        <v/>
      </c>
      <c r="AC17" s="102" t="n">
        <v>32</v>
      </c>
      <c r="AD17" s="102" t="n">
        <v>1</v>
      </c>
      <c r="AE17" s="104">
        <f>IF(OR(AC17="", AD17=""), "", AD17/AC17)</f>
        <v/>
      </c>
      <c r="AF17" s="102" t="n">
        <v>28</v>
      </c>
      <c r="AG17" s="102" t="n">
        <v>0</v>
      </c>
      <c r="AH17" s="104">
        <f>IF(OR(AF17="", AG17=""), "", AG17/AF17)</f>
        <v/>
      </c>
      <c r="AI17" s="102" t="n"/>
      <c r="AJ17" s="102" t="n"/>
      <c r="AK17" s="104" t="n"/>
      <c r="AL17" s="102" t="n"/>
      <c r="AM17" s="102" t="n"/>
      <c r="AN17" s="62" t="n"/>
    </row>
    <row r="18">
      <c r="C18" s="61" t="inlineStr">
        <is>
          <t>South</t>
        </is>
      </c>
      <c r="D18" s="55" t="inlineStr">
        <is>
          <t>April</t>
        </is>
      </c>
      <c r="E18" s="102" t="n">
        <v>42</v>
      </c>
      <c r="F18" s="102" t="n">
        <v>0</v>
      </c>
      <c r="G18" s="104">
        <f>IF(OR(E18="", F18=""), "", F18/E18)</f>
        <v/>
      </c>
      <c r="H18" s="102" t="n">
        <v>31</v>
      </c>
      <c r="I18" s="102" t="n">
        <v>2</v>
      </c>
      <c r="J18" s="104">
        <f>IF(OR(H18="", I18=""), "", I18/H18)</f>
        <v/>
      </c>
      <c r="K18" s="102" t="n">
        <v>33</v>
      </c>
      <c r="L18" s="102" t="n">
        <v>4</v>
      </c>
      <c r="M18" s="104">
        <f>IF(OR(K18="", L18=""), "", L18/K18)</f>
        <v/>
      </c>
      <c r="N18" s="102" t="n">
        <v>32</v>
      </c>
      <c r="O18" s="102" t="n">
        <v>1</v>
      </c>
      <c r="P18" s="104">
        <f>IF(OR(N18="", O18=""), "", O18/N18)</f>
        <v/>
      </c>
      <c r="Q18" s="102" t="n"/>
      <c r="R18" s="102" t="n"/>
      <c r="S18" s="104" t="n"/>
      <c r="T18" s="102" t="n"/>
      <c r="U18" s="102" t="n"/>
      <c r="V18" s="104" t="n"/>
      <c r="W18" s="102" t="n">
        <v>42</v>
      </c>
      <c r="X18" s="102" t="n">
        <v>0</v>
      </c>
      <c r="Y18" s="104">
        <f>IF(OR(W18="", X18=""), "", X18/W18)</f>
        <v/>
      </c>
      <c r="Z18" s="102" t="n">
        <v>31</v>
      </c>
      <c r="AA18" s="102" t="n">
        <v>2</v>
      </c>
      <c r="AB18" s="104">
        <f>IF(OR(Z18="", AA18=""), "", AA18/Z18)</f>
        <v/>
      </c>
      <c r="AC18" s="102" t="n">
        <v>33</v>
      </c>
      <c r="AD18" s="102" t="n">
        <v>4</v>
      </c>
      <c r="AE18" s="104">
        <f>IF(OR(AC18="", AD18=""), "", AD18/AC18)</f>
        <v/>
      </c>
      <c r="AF18" s="102" t="n">
        <v>32</v>
      </c>
      <c r="AG18" s="102" t="n">
        <v>1</v>
      </c>
      <c r="AH18" s="104">
        <f>IF(OR(AF18="", AG18=""), "", AG18/AF18)</f>
        <v/>
      </c>
      <c r="AI18" s="102" t="n"/>
      <c r="AJ18" s="102" t="n"/>
      <c r="AK18" s="104" t="n"/>
      <c r="AL18" s="102" t="n"/>
      <c r="AM18" s="102" t="n"/>
      <c r="AN18" s="62" t="n"/>
    </row>
    <row r="19">
      <c r="C19" s="61" t="inlineStr">
        <is>
          <t>South</t>
        </is>
      </c>
      <c r="D19" s="55" t="inlineStr">
        <is>
          <t>Felina</t>
        </is>
      </c>
      <c r="E19" s="102" t="n">
        <v>45</v>
      </c>
      <c r="F19" s="102" t="n">
        <v>3</v>
      </c>
      <c r="G19" s="104">
        <f>IF(OR(E19="", F19=""), "", F19/E19)</f>
        <v/>
      </c>
      <c r="H19" s="102" t="n">
        <v>48</v>
      </c>
      <c r="I19" s="102" t="n">
        <v>1</v>
      </c>
      <c r="J19" s="104">
        <f>IF(OR(H19="", I19=""), "", I19/H19)</f>
        <v/>
      </c>
      <c r="K19" s="102" t="n">
        <v>46</v>
      </c>
      <c r="L19" s="102" t="n">
        <v>4</v>
      </c>
      <c r="M19" s="104">
        <f>IF(OR(K19="", L19=""), "", L19/K19)</f>
        <v/>
      </c>
      <c r="N19" s="102" t="n">
        <v>47</v>
      </c>
      <c r="O19" s="102" t="n">
        <v>1</v>
      </c>
      <c r="P19" s="104">
        <f>IF(OR(N19="", O19=""), "", O19/N19)</f>
        <v/>
      </c>
      <c r="Q19" s="102" t="n"/>
      <c r="R19" s="102" t="n"/>
      <c r="S19" s="104" t="n"/>
      <c r="T19" s="102" t="n"/>
      <c r="U19" s="102" t="n"/>
      <c r="V19" s="104" t="n"/>
      <c r="W19" s="102" t="n">
        <v>45</v>
      </c>
      <c r="X19" s="102" t="n">
        <v>3</v>
      </c>
      <c r="Y19" s="104">
        <f>IF(OR(W19="", X19=""), "", X19/W19)</f>
        <v/>
      </c>
      <c r="Z19" s="102" t="n">
        <v>48</v>
      </c>
      <c r="AA19" s="102" t="n">
        <v>1</v>
      </c>
      <c r="AB19" s="104">
        <f>IF(OR(Z19="", AA19=""), "", AA19/Z19)</f>
        <v/>
      </c>
      <c r="AC19" s="102" t="n">
        <v>46</v>
      </c>
      <c r="AD19" s="102" t="n">
        <v>4</v>
      </c>
      <c r="AE19" s="104">
        <f>IF(OR(AC19="", AD19=""), "", AD19/AC19)</f>
        <v/>
      </c>
      <c r="AF19" s="102" t="n">
        <v>47</v>
      </c>
      <c r="AG19" s="102" t="n">
        <v>1</v>
      </c>
      <c r="AH19" s="104">
        <f>IF(OR(AF19="", AG19=""), "", AG19/AF19)</f>
        <v/>
      </c>
      <c r="AI19" s="102" t="n"/>
      <c r="AJ19" s="102" t="n"/>
      <c r="AK19" s="104" t="n"/>
      <c r="AL19" s="102" t="n"/>
      <c r="AM19" s="102" t="n"/>
      <c r="AN19" s="62" t="n"/>
    </row>
    <row r="20">
      <c r="C20" s="61" t="inlineStr">
        <is>
          <t>South</t>
        </is>
      </c>
      <c r="D20" s="55" t="inlineStr">
        <is>
          <t>Stephanie</t>
        </is>
      </c>
      <c r="E20" s="102" t="n">
        <v>47</v>
      </c>
      <c r="F20" s="102" t="n">
        <v>1</v>
      </c>
      <c r="G20" s="104">
        <f>IF(OR(E20="", F20=""), "", F20/E20)</f>
        <v/>
      </c>
      <c r="H20" s="102" t="n">
        <v>53</v>
      </c>
      <c r="I20" s="102" t="n">
        <v>1</v>
      </c>
      <c r="J20" s="104">
        <f>IF(OR(H20="", I20=""), "", I20/H20)</f>
        <v/>
      </c>
      <c r="K20" s="102" t="n">
        <v>48</v>
      </c>
      <c r="L20" s="102" t="n">
        <v>1</v>
      </c>
      <c r="M20" s="104">
        <f>IF(OR(K20="", L20=""), "", L20/K20)</f>
        <v/>
      </c>
      <c r="N20" s="102" t="n">
        <v>51</v>
      </c>
      <c r="O20" s="102" t="n">
        <v>3</v>
      </c>
      <c r="P20" s="104">
        <f>IF(OR(N20="", O20=""), "", O20/N20)</f>
        <v/>
      </c>
      <c r="Q20" s="102" t="n"/>
      <c r="R20" s="102" t="n"/>
      <c r="S20" s="104" t="n"/>
      <c r="T20" s="102" t="n"/>
      <c r="U20" s="102" t="n"/>
      <c r="V20" s="104" t="n"/>
      <c r="W20" s="102" t="n">
        <v>47</v>
      </c>
      <c r="X20" s="102" t="n">
        <v>1</v>
      </c>
      <c r="Y20" s="104">
        <f>IF(OR(W20="", X20=""), "", X20/W20)</f>
        <v/>
      </c>
      <c r="Z20" s="102" t="n">
        <v>53</v>
      </c>
      <c r="AA20" s="102" t="n">
        <v>1</v>
      </c>
      <c r="AB20" s="104">
        <f>IF(OR(Z20="", AA20=""), "", AA20/Z20)</f>
        <v/>
      </c>
      <c r="AC20" s="102" t="n">
        <v>48</v>
      </c>
      <c r="AD20" s="102" t="n">
        <v>1</v>
      </c>
      <c r="AE20" s="104">
        <f>IF(OR(AC20="", AD20=""), "", AD20/AC20)</f>
        <v/>
      </c>
      <c r="AF20" s="102" t="n">
        <v>51</v>
      </c>
      <c r="AG20" s="102" t="n">
        <v>3</v>
      </c>
      <c r="AH20" s="104">
        <f>IF(OR(AF20="", AG20=""), "", AG20/AF20)</f>
        <v/>
      </c>
      <c r="AI20" s="102" t="n"/>
      <c r="AJ20" s="102" t="n"/>
      <c r="AK20" s="104" t="n"/>
      <c r="AL20" s="102" t="n"/>
      <c r="AM20" s="102" t="n"/>
      <c r="AN20" s="62" t="n"/>
    </row>
    <row r="21">
      <c r="C21" s="61" t="inlineStr">
        <is>
          <t>South</t>
        </is>
      </c>
      <c r="D21" s="55" t="inlineStr">
        <is>
          <t>Vincent</t>
        </is>
      </c>
      <c r="E21" s="102" t="n">
        <v>32</v>
      </c>
      <c r="F21" s="102" t="n">
        <v>3</v>
      </c>
      <c r="G21" s="104">
        <f>IF(OR(E21="", F21=""), "", F21/E21)</f>
        <v/>
      </c>
      <c r="H21" s="102" t="n">
        <v>35</v>
      </c>
      <c r="I21" s="102" t="n">
        <v>3</v>
      </c>
      <c r="J21" s="104">
        <f>IF(OR(H21="", I21=""), "", I21/H21)</f>
        <v/>
      </c>
      <c r="K21" s="102" t="n">
        <v>33</v>
      </c>
      <c r="L21" s="102" t="n">
        <v>1</v>
      </c>
      <c r="M21" s="104">
        <f>IF(OR(K21="", L21=""), "", L21/K21)</f>
        <v/>
      </c>
      <c r="N21" s="102" t="n">
        <v>33</v>
      </c>
      <c r="O21" s="102" t="n">
        <v>0</v>
      </c>
      <c r="P21" s="104">
        <f>IF(OR(N21="", O21=""), "", O21/N21)</f>
        <v/>
      </c>
      <c r="Q21" s="102" t="n"/>
      <c r="R21" s="102" t="n"/>
      <c r="S21" s="104" t="n"/>
      <c r="T21" s="102" t="n"/>
      <c r="U21" s="102" t="n"/>
      <c r="V21" s="104" t="n"/>
      <c r="W21" s="102" t="n">
        <v>32</v>
      </c>
      <c r="X21" s="102" t="n">
        <v>3</v>
      </c>
      <c r="Y21" s="104">
        <f>IF(OR(W21="", X21=""), "", X21/W21)</f>
        <v/>
      </c>
      <c r="Z21" s="102" t="n">
        <v>35</v>
      </c>
      <c r="AA21" s="102" t="n">
        <v>3</v>
      </c>
      <c r="AB21" s="104">
        <f>IF(OR(Z21="", AA21=""), "", AA21/Z21)</f>
        <v/>
      </c>
      <c r="AC21" s="102" t="n">
        <v>33</v>
      </c>
      <c r="AD21" s="102" t="n">
        <v>1</v>
      </c>
      <c r="AE21" s="104">
        <f>IF(OR(AC21="", AD21=""), "", AD21/AC21)</f>
        <v/>
      </c>
      <c r="AF21" s="102" t="n">
        <v>33</v>
      </c>
      <c r="AG21" s="102" t="n">
        <v>0</v>
      </c>
      <c r="AH21" s="104">
        <f>IF(OR(AF21="", AG21=""), "", AG21/AF21)</f>
        <v/>
      </c>
      <c r="AI21" s="102" t="n"/>
      <c r="AJ21" s="102" t="n"/>
      <c r="AK21" s="104" t="n"/>
      <c r="AL21" s="102" t="n"/>
      <c r="AM21" s="102" t="n"/>
      <c r="AN21" s="62" t="n"/>
    </row>
    <row r="22">
      <c r="C22" s="61" t="inlineStr">
        <is>
          <t>South</t>
        </is>
      </c>
      <c r="D22" s="55" t="inlineStr">
        <is>
          <t>Janice</t>
        </is>
      </c>
      <c r="E22" s="102" t="n">
        <v>8</v>
      </c>
      <c r="F22" s="102" t="n">
        <v>2</v>
      </c>
      <c r="G22" s="104">
        <f>IF(OR(E22="", F22=""), "", F22/E22)</f>
        <v/>
      </c>
      <c r="H22" s="102" t="n">
        <v>14</v>
      </c>
      <c r="I22" s="102" t="n">
        <v>0</v>
      </c>
      <c r="J22" s="104">
        <f>IF(OR(H22="", I22=""), "", I22/H22)</f>
        <v/>
      </c>
      <c r="K22" s="102" t="n">
        <v>16</v>
      </c>
      <c r="L22" s="102" t="n">
        <v>0</v>
      </c>
      <c r="M22" s="104">
        <f>IF(OR(K22="", L22=""), "", L22/K22)</f>
        <v/>
      </c>
      <c r="N22" s="102" t="n">
        <v>17</v>
      </c>
      <c r="O22" s="102" t="n">
        <v>0</v>
      </c>
      <c r="P22" s="104">
        <f>IF(OR(N22="", O22=""), "", O22/N22)</f>
        <v/>
      </c>
      <c r="Q22" s="102" t="n"/>
      <c r="R22" s="102" t="n"/>
      <c r="S22" s="104" t="n"/>
      <c r="T22" s="102" t="n"/>
      <c r="U22" s="102" t="n"/>
      <c r="V22" s="104" t="n"/>
      <c r="W22" s="102" t="n">
        <v>8</v>
      </c>
      <c r="X22" s="102" t="n">
        <v>2</v>
      </c>
      <c r="Y22" s="104">
        <f>IF(OR(W22="", X22=""), "", X22/W22)</f>
        <v/>
      </c>
      <c r="Z22" s="102" t="n">
        <v>14</v>
      </c>
      <c r="AA22" s="102" t="n">
        <v>0</v>
      </c>
      <c r="AB22" s="104">
        <f>IF(OR(Z22="", AA22=""), "", AA22/Z22)</f>
        <v/>
      </c>
      <c r="AC22" s="102" t="n">
        <v>16</v>
      </c>
      <c r="AD22" s="102" t="n">
        <v>0</v>
      </c>
      <c r="AE22" s="104">
        <f>IF(OR(AC22="", AD22=""), "", AD22/AC22)</f>
        <v/>
      </c>
      <c r="AF22" s="102" t="n">
        <v>17</v>
      </c>
      <c r="AG22" s="102" t="n">
        <v>0</v>
      </c>
      <c r="AH22" s="104">
        <f>IF(OR(AF22="", AG22=""), "", AG22/AF22)</f>
        <v/>
      </c>
      <c r="AI22" s="102" t="n"/>
      <c r="AJ22" s="102" t="n"/>
      <c r="AK22" s="104" t="n"/>
      <c r="AL22" s="102" t="n"/>
      <c r="AM22" s="102" t="n"/>
      <c r="AN22" s="62" t="n"/>
    </row>
    <row r="23">
      <c r="C23" s="61" t="inlineStr">
        <is>
          <t>South</t>
        </is>
      </c>
      <c r="D23" s="55" t="inlineStr">
        <is>
          <t>Raj</t>
        </is>
      </c>
      <c r="E23" s="102" t="n">
        <v>43</v>
      </c>
      <c r="F23" s="102" t="n">
        <v>1</v>
      </c>
      <c r="G23" s="104">
        <f>IF(OR(E23="", F23=""), "", F23/E23)</f>
        <v/>
      </c>
      <c r="H23" s="102" t="n">
        <v>44</v>
      </c>
      <c r="I23" s="102" t="n">
        <v>1</v>
      </c>
      <c r="J23" s="104">
        <f>IF(OR(H23="", I23=""), "", I23/H23)</f>
        <v/>
      </c>
      <c r="K23" s="102" t="n">
        <v>39</v>
      </c>
      <c r="L23" s="102" t="n">
        <v>2</v>
      </c>
      <c r="M23" s="104">
        <f>IF(OR(K23="", L23=""), "", L23/K23)</f>
        <v/>
      </c>
      <c r="N23" s="102" t="n">
        <v>44</v>
      </c>
      <c r="O23" s="102" t="n">
        <v>1</v>
      </c>
      <c r="P23" s="104">
        <f>IF(OR(N23="", O23=""), "", O23/N23)</f>
        <v/>
      </c>
      <c r="Q23" s="102" t="n"/>
      <c r="R23" s="102" t="n"/>
      <c r="S23" s="104" t="n"/>
      <c r="T23" s="102" t="n"/>
      <c r="U23" s="102" t="n"/>
      <c r="V23" s="104" t="n"/>
      <c r="W23" s="102" t="n">
        <v>43</v>
      </c>
      <c r="X23" s="102" t="n">
        <v>1</v>
      </c>
      <c r="Y23" s="104">
        <f>IF(OR(W23="", X23=""), "", X23/W23)</f>
        <v/>
      </c>
      <c r="Z23" s="102" t="n">
        <v>44</v>
      </c>
      <c r="AA23" s="102" t="n">
        <v>1</v>
      </c>
      <c r="AB23" s="104">
        <f>IF(OR(Z23="", AA23=""), "", AA23/Z23)</f>
        <v/>
      </c>
      <c r="AC23" s="102" t="n">
        <v>39</v>
      </c>
      <c r="AD23" s="102" t="n">
        <v>2</v>
      </c>
      <c r="AE23" s="104">
        <f>IF(OR(AC23="", AD23=""), "", AD23/AC23)</f>
        <v/>
      </c>
      <c r="AF23" s="102" t="n">
        <v>44</v>
      </c>
      <c r="AG23" s="102" t="n">
        <v>1</v>
      </c>
      <c r="AH23" s="104">
        <f>IF(OR(AF23="", AG23=""), "", AG23/AF23)</f>
        <v/>
      </c>
      <c r="AI23" s="102" t="n"/>
      <c r="AJ23" s="102" t="n"/>
      <c r="AK23" s="104" t="n"/>
      <c r="AL23" s="102" t="n"/>
      <c r="AM23" s="102" t="n"/>
      <c r="AN23" s="62" t="n"/>
    </row>
    <row r="24">
      <c r="C24" s="61" t="inlineStr">
        <is>
          <t>South</t>
        </is>
      </c>
      <c r="D24" s="101" t="inlineStr">
        <is>
          <t>Shirley</t>
        </is>
      </c>
      <c r="E24" s="105" t="n"/>
      <c r="F24" s="105" t="n"/>
      <c r="G24" s="106">
        <f>IF(OR(E24="", F24=""), "", F24/E24)</f>
        <v/>
      </c>
      <c r="H24" s="102" t="n">
        <v>23</v>
      </c>
      <c r="I24" s="102" t="n">
        <v>1</v>
      </c>
      <c r="J24" s="104">
        <f>IF(OR(H24="", I24=""), "", I24/H24)</f>
        <v/>
      </c>
      <c r="K24" s="102" t="n">
        <v>36</v>
      </c>
      <c r="L24" s="102" t="n">
        <v>4</v>
      </c>
      <c r="M24" s="104">
        <f>IF(OR(K24="", L24=""), "", L24/K24)</f>
        <v/>
      </c>
      <c r="N24" s="102" t="n">
        <v>46</v>
      </c>
      <c r="O24" s="102" t="n">
        <v>5</v>
      </c>
      <c r="P24" s="104">
        <f>IF(OR(N24="", O24=""), "", O24/N24)</f>
        <v/>
      </c>
      <c r="Q24" s="102" t="n"/>
      <c r="R24" s="102" t="n"/>
      <c r="S24" s="104">
        <f>IF(OR(Q24="", R24=""), "", R24/Q24)</f>
        <v/>
      </c>
      <c r="T24" s="102" t="n"/>
      <c r="U24" s="102" t="n"/>
      <c r="V24" s="104">
        <f>IF(OR(T24="", U24=""), "", U24/T24)</f>
        <v/>
      </c>
      <c r="W24" s="105" t="n"/>
      <c r="X24" s="105" t="n"/>
      <c r="Y24" s="106">
        <f>IF(OR(W24="", X24=""), "", X24/W24)</f>
        <v/>
      </c>
      <c r="Z24" s="102" t="n">
        <v>23</v>
      </c>
      <c r="AA24" s="102" t="n">
        <v>1</v>
      </c>
      <c r="AB24" s="104">
        <f>IF(OR(Z24="", AA24=""), "", AA24/Z24)</f>
        <v/>
      </c>
      <c r="AC24" s="102" t="n">
        <v>36</v>
      </c>
      <c r="AD24" s="102" t="n">
        <v>4</v>
      </c>
      <c r="AE24" s="104">
        <f>IF(OR(AC24="", AD24=""), "", AD24/AC24)</f>
        <v/>
      </c>
      <c r="AF24" s="102" t="n">
        <v>46</v>
      </c>
      <c r="AG24" s="102" t="n">
        <v>5</v>
      </c>
      <c r="AH24" s="104">
        <f>IF(OR(AF24="", AG24=""), "", AG24/AF24)</f>
        <v/>
      </c>
      <c r="AI24" s="102" t="n"/>
      <c r="AJ24" s="102" t="n"/>
      <c r="AK24" s="104">
        <f>IF(OR(AI24="", AJ24=""), "", AJ24/AI24)</f>
        <v/>
      </c>
      <c r="AL24" s="102" t="n"/>
      <c r="AM24" s="102" t="n"/>
      <c r="AN24" s="62">
        <f>IF(OR(AL24="", AM24=""), "", AM24/AL24)</f>
        <v/>
      </c>
    </row>
    <row r="25">
      <c r="C25" s="61" t="inlineStr">
        <is>
          <t> </t>
        </is>
      </c>
      <c r="D25" s="101" t="n"/>
      <c r="E25" s="101" t="n"/>
      <c r="F25" s="101" t="n"/>
      <c r="G25" s="101" t="n"/>
      <c r="H25" s="102" t="inlineStr">
        <is>
          <t> </t>
        </is>
      </c>
      <c r="I25" s="102" t="n"/>
      <c r="J25" s="104">
        <f>IF(OR(H25="", I25=""), "", I25/H25)</f>
        <v/>
      </c>
      <c r="K25" s="102" t="inlineStr">
        <is>
          <t> </t>
        </is>
      </c>
      <c r="L25" s="102" t="n"/>
      <c r="M25" s="104">
        <f>IF(OR(K25="", L25=""), "", L25/K25)</f>
        <v/>
      </c>
      <c r="N25" s="102" t="inlineStr">
        <is>
          <t> </t>
        </is>
      </c>
      <c r="O25" s="102" t="n"/>
      <c r="P25" s="104">
        <f>IF(OR(N25="", O25=""), "", O25/N25)</f>
        <v/>
      </c>
      <c r="Q25" s="102" t="inlineStr">
        <is>
          <t> </t>
        </is>
      </c>
      <c r="R25" s="102" t="n"/>
      <c r="S25" s="104">
        <f>IF(OR(Q25="", R25=""), "", R25/Q25)</f>
        <v/>
      </c>
      <c r="T25" s="102" t="inlineStr">
        <is>
          <t> </t>
        </is>
      </c>
      <c r="U25" s="102" t="n"/>
      <c r="V25" s="104">
        <f>IF(OR(T25="", U25=""), "", U25/T25)</f>
        <v/>
      </c>
      <c r="W25" s="101" t="n"/>
      <c r="X25" s="101" t="n"/>
      <c r="Y25" s="101" t="n"/>
      <c r="Z25" s="101" t="n"/>
      <c r="AA25" s="101" t="n"/>
      <c r="AB25" s="101" t="n"/>
      <c r="AC25" s="101" t="n"/>
      <c r="AD25" s="101" t="n"/>
      <c r="AE25" s="101" t="n"/>
      <c r="AF25" s="101" t="n"/>
      <c r="AG25" s="101" t="n"/>
      <c r="AH25" s="101" t="n"/>
      <c r="AI25" s="101" t="n"/>
      <c r="AJ25" s="101" t="n"/>
      <c r="AK25" s="101" t="n"/>
      <c r="AL25" s="101" t="n"/>
      <c r="AM25" s="101" t="n"/>
      <c r="AN25" s="101" t="n"/>
    </row>
    <row r="26">
      <c r="C26" s="61" t="inlineStr">
        <is>
          <t> </t>
        </is>
      </c>
      <c r="D26" s="101" t="n"/>
      <c r="E26" s="101" t="n"/>
      <c r="F26" s="101" t="n"/>
      <c r="G26" s="101" t="n"/>
      <c r="H26" s="102" t="inlineStr">
        <is>
          <t> </t>
        </is>
      </c>
      <c r="I26" s="102" t="n"/>
      <c r="J26" s="104">
        <f>IF(OR(H26="", I26=""), "", I26/H26)</f>
        <v/>
      </c>
      <c r="K26" s="102" t="inlineStr">
        <is>
          <t> </t>
        </is>
      </c>
      <c r="L26" s="102" t="n"/>
      <c r="M26" s="104">
        <f>IF(OR(K26="", L26=""), "", L26/K26)</f>
        <v/>
      </c>
      <c r="N26" s="102" t="inlineStr">
        <is>
          <t> </t>
        </is>
      </c>
      <c r="O26" s="102" t="n"/>
      <c r="P26" s="104">
        <f>IF(OR(N26="", O26=""), "", O26/N26)</f>
        <v/>
      </c>
      <c r="Q26" s="102" t="inlineStr">
        <is>
          <t> </t>
        </is>
      </c>
      <c r="R26" s="102" t="n"/>
      <c r="S26" s="104">
        <f>IF(OR(Q26="", R26=""), "", R26/Q26)</f>
        <v/>
      </c>
      <c r="T26" s="102" t="inlineStr">
        <is>
          <t> </t>
        </is>
      </c>
      <c r="U26" s="102" t="n"/>
      <c r="V26" s="104">
        <f>IF(OR(T26="", U26=""), "", U26/T26)</f>
        <v/>
      </c>
      <c r="W26" s="101" t="n"/>
      <c r="X26" s="101" t="n"/>
      <c r="Y26" s="101" t="n"/>
      <c r="Z26" s="101" t="n"/>
      <c r="AA26" s="101" t="n"/>
      <c r="AB26" s="101" t="n"/>
      <c r="AC26" s="101" t="n"/>
      <c r="AD26" s="101" t="n"/>
      <c r="AE26" s="101" t="n"/>
      <c r="AF26" s="101" t="n"/>
      <c r="AG26" s="101" t="n"/>
      <c r="AH26" s="101" t="n"/>
      <c r="AI26" s="101" t="n"/>
      <c r="AJ26" s="101" t="n"/>
      <c r="AK26" s="101" t="n"/>
      <c r="AL26" s="101" t="n"/>
      <c r="AM26" s="101" t="n"/>
      <c r="AN26" s="101" t="n"/>
    </row>
    <row r="27">
      <c r="C27" s="61" t="inlineStr">
        <is>
          <t> </t>
        </is>
      </c>
      <c r="D27" s="101" t="n"/>
      <c r="E27" s="101" t="n"/>
      <c r="F27" s="101" t="n"/>
      <c r="G27" s="101" t="n"/>
      <c r="H27" s="102" t="n"/>
      <c r="I27" s="102" t="n"/>
      <c r="J27" s="104" t="n"/>
      <c r="K27" s="102" t="n"/>
      <c r="L27" s="102" t="n"/>
      <c r="M27" s="104" t="n"/>
      <c r="N27" s="102" t="n"/>
      <c r="O27" s="102" t="n"/>
      <c r="P27" s="104" t="n"/>
      <c r="Q27" s="102" t="n"/>
      <c r="R27" s="102" t="n"/>
      <c r="S27" s="104" t="n"/>
      <c r="T27" s="102" t="n"/>
      <c r="U27" s="102" t="n"/>
      <c r="V27" s="104" t="n"/>
      <c r="W27" s="101" t="n"/>
      <c r="X27" s="101" t="n"/>
      <c r="Y27" s="101" t="n"/>
      <c r="Z27" s="101" t="n"/>
      <c r="AA27" s="101" t="n"/>
      <c r="AB27" s="101" t="n"/>
      <c r="AC27" s="101" t="n"/>
      <c r="AD27" s="101" t="n"/>
      <c r="AE27" s="101" t="n"/>
      <c r="AF27" s="101" t="n"/>
      <c r="AG27" s="101" t="n"/>
      <c r="AH27" s="101" t="n"/>
      <c r="AI27" s="101" t="n"/>
      <c r="AJ27" s="101" t="n"/>
      <c r="AK27" s="101" t="n"/>
      <c r="AL27" s="101" t="n"/>
      <c r="AM27" s="101" t="n"/>
      <c r="AN27" s="101" t="n"/>
    </row>
    <row r="28">
      <c r="C28" s="61" t="inlineStr">
        <is>
          <t> </t>
        </is>
      </c>
      <c r="D28" s="101" t="n"/>
      <c r="E28" s="101" t="n"/>
      <c r="F28" s="101" t="n"/>
      <c r="G28" s="101" t="n"/>
      <c r="H28" s="102" t="n"/>
      <c r="I28" s="102" t="n"/>
      <c r="J28" s="104" t="n"/>
      <c r="K28" s="102" t="n"/>
      <c r="L28" s="102" t="n"/>
      <c r="M28" s="104" t="n"/>
      <c r="N28" s="102" t="n"/>
      <c r="O28" s="102" t="n"/>
      <c r="P28" s="104" t="n"/>
      <c r="Q28" s="102" t="n"/>
      <c r="R28" s="102" t="n"/>
      <c r="S28" s="104" t="n"/>
      <c r="T28" s="102" t="n"/>
      <c r="U28" s="102" t="n"/>
      <c r="V28" s="104" t="n"/>
      <c r="W28" s="101" t="n"/>
      <c r="X28" s="101" t="n"/>
      <c r="Y28" s="101" t="n"/>
      <c r="Z28" s="101" t="n"/>
      <c r="AA28" s="101" t="n"/>
      <c r="AB28" s="101" t="n"/>
      <c r="AC28" s="101" t="n"/>
      <c r="AD28" s="101" t="n"/>
      <c r="AE28" s="101" t="n"/>
      <c r="AF28" s="101" t="n"/>
      <c r="AG28" s="101" t="n"/>
      <c r="AH28" s="101" t="n"/>
      <c r="AI28" s="101" t="n"/>
      <c r="AJ28" s="101" t="n"/>
      <c r="AK28" s="101" t="n"/>
      <c r="AL28" s="101" t="n"/>
      <c r="AM28" s="101" t="n"/>
      <c r="AN28" s="101" t="n"/>
    </row>
    <row r="29">
      <c r="C29" s="61" t="inlineStr">
        <is>
          <t> </t>
        </is>
      </c>
      <c r="D29" s="55" t="n"/>
      <c r="E29" s="102" t="n"/>
      <c r="F29" s="102" t="n"/>
      <c r="G29" s="104" t="n"/>
      <c r="H29" s="102" t="n"/>
      <c r="I29" s="102" t="n"/>
      <c r="J29" s="104" t="n"/>
      <c r="K29" s="102" t="n"/>
      <c r="L29" s="102" t="n"/>
      <c r="M29" s="104" t="n"/>
      <c r="N29" s="102" t="n"/>
      <c r="O29" s="102" t="n"/>
      <c r="P29" s="104" t="n"/>
      <c r="Q29" s="102" t="n"/>
      <c r="R29" s="102" t="n"/>
      <c r="S29" s="104" t="n"/>
      <c r="T29" s="102" t="n"/>
      <c r="U29" s="102" t="n"/>
      <c r="V29" s="104" t="n"/>
      <c r="W29" s="101" t="n"/>
      <c r="X29" s="101" t="n"/>
      <c r="Y29" s="101" t="n"/>
      <c r="Z29" s="101" t="n"/>
      <c r="AA29" s="101" t="n"/>
      <c r="AB29" s="101" t="n"/>
      <c r="AC29" s="101" t="n"/>
      <c r="AD29" s="101" t="n"/>
      <c r="AE29" s="101" t="n"/>
      <c r="AF29" s="101" t="n"/>
      <c r="AG29" s="101" t="n"/>
      <c r="AH29" s="101" t="n"/>
      <c r="AI29" s="101" t="n"/>
      <c r="AJ29" s="101" t="n"/>
      <c r="AK29" s="101" t="n"/>
      <c r="AL29" s="101" t="n"/>
      <c r="AM29" s="101" t="n"/>
      <c r="AN29" s="101" t="n"/>
    </row>
    <row r="30">
      <c r="C30" s="61" t="inlineStr">
        <is>
          <t> </t>
        </is>
      </c>
      <c r="D30" s="101" t="n"/>
      <c r="E30" s="101" t="n"/>
      <c r="F30" s="101" t="n"/>
      <c r="G30" s="101" t="n"/>
      <c r="H30" s="102" t="n"/>
      <c r="I30" s="102" t="n"/>
      <c r="J30" s="104" t="n"/>
      <c r="K30" s="102" t="n"/>
      <c r="L30" s="102" t="n"/>
      <c r="M30" s="104" t="n"/>
      <c r="N30" s="102" t="n"/>
      <c r="O30" s="102" t="n"/>
      <c r="P30" s="104" t="n"/>
      <c r="Q30" s="102" t="n"/>
      <c r="R30" s="102" t="n"/>
      <c r="S30" s="104" t="n"/>
      <c r="T30" s="102" t="n"/>
      <c r="U30" s="102" t="n"/>
      <c r="V30" s="104" t="n"/>
      <c r="W30" s="101" t="n"/>
      <c r="X30" s="101" t="n"/>
      <c r="Y30" s="101" t="n"/>
      <c r="Z30" s="101" t="n"/>
      <c r="AA30" s="101" t="n"/>
      <c r="AB30" s="101" t="n"/>
      <c r="AC30" s="101" t="n"/>
      <c r="AD30" s="101" t="n"/>
      <c r="AE30" s="101" t="n"/>
      <c r="AF30" s="101" t="n"/>
      <c r="AG30" s="101" t="n"/>
      <c r="AH30" s="101" t="n"/>
      <c r="AI30" s="101" t="n"/>
      <c r="AJ30" s="101" t="n"/>
      <c r="AK30" s="101" t="n"/>
      <c r="AL30" s="101" t="n"/>
      <c r="AM30" s="101" t="n"/>
      <c r="AN30" s="101" t="n"/>
    </row>
    <row r="31">
      <c r="C31" s="61" t="inlineStr">
        <is>
          <t> </t>
        </is>
      </c>
      <c r="D31" s="101" t="n"/>
      <c r="E31" s="101" t="n"/>
      <c r="F31" s="101" t="n"/>
      <c r="G31" s="101" t="n"/>
      <c r="H31" s="102" t="inlineStr">
        <is>
          <t> </t>
        </is>
      </c>
      <c r="I31" s="102" t="n"/>
      <c r="J31" s="104">
        <f>IF(OR(H31="", I31=""), "", I31/H31)</f>
        <v/>
      </c>
      <c r="K31" s="102" t="inlineStr">
        <is>
          <t> </t>
        </is>
      </c>
      <c r="L31" s="102" t="n"/>
      <c r="M31" s="104">
        <f>IF(OR(K31="", L31=""), "", L31/K31)</f>
        <v/>
      </c>
      <c r="N31" s="102" t="inlineStr">
        <is>
          <t> </t>
        </is>
      </c>
      <c r="O31" s="102" t="n"/>
      <c r="P31" s="104">
        <f>IF(OR(N31="", O31=""), "", O31/N31)</f>
        <v/>
      </c>
      <c r="Q31" s="102" t="inlineStr">
        <is>
          <t> </t>
        </is>
      </c>
      <c r="R31" s="102" t="n"/>
      <c r="S31" s="104">
        <f>IF(OR(Q31="", R31=""), "", R31/Q31)</f>
        <v/>
      </c>
      <c r="T31" s="102" t="inlineStr">
        <is>
          <t> </t>
        </is>
      </c>
      <c r="U31" s="102" t="n"/>
      <c r="V31" s="104">
        <f>IF(OR(T31="", U31=""), "", U31/T31)</f>
        <v/>
      </c>
      <c r="W31" s="101" t="n"/>
      <c r="X31" s="101" t="n"/>
      <c r="Y31" s="101" t="n"/>
      <c r="Z31" s="101" t="n"/>
      <c r="AA31" s="101" t="n"/>
      <c r="AB31" s="101" t="n"/>
      <c r="AC31" s="101" t="n"/>
      <c r="AD31" s="101" t="n"/>
      <c r="AE31" s="101" t="n"/>
      <c r="AF31" s="101" t="n"/>
      <c r="AG31" s="101" t="n"/>
      <c r="AH31" s="101" t="n"/>
      <c r="AI31" s="101" t="n"/>
      <c r="AJ31" s="101" t="n"/>
      <c r="AK31" s="101" t="n"/>
      <c r="AL31" s="101" t="n"/>
      <c r="AM31" s="101" t="n"/>
      <c r="AN31" s="101" t="n"/>
    </row>
    <row r="32">
      <c r="C32" s="61" t="inlineStr">
        <is>
          <t> </t>
        </is>
      </c>
      <c r="D32" s="101" t="n"/>
      <c r="E32" s="101" t="n"/>
      <c r="F32" s="101" t="n"/>
      <c r="G32" s="101" t="n"/>
      <c r="H32" s="102" t="inlineStr">
        <is>
          <t> </t>
        </is>
      </c>
      <c r="I32" s="102" t="n"/>
      <c r="J32" s="104">
        <f>IF(OR(H32="", I32=""), "", I32/H32)</f>
        <v/>
      </c>
      <c r="K32" s="102" t="inlineStr">
        <is>
          <t> </t>
        </is>
      </c>
      <c r="L32" s="102" t="n"/>
      <c r="M32" s="104">
        <f>IF(OR(K32="", L32=""), "", L32/K32)</f>
        <v/>
      </c>
      <c r="N32" s="102" t="inlineStr">
        <is>
          <t> </t>
        </is>
      </c>
      <c r="O32" s="102" t="n"/>
      <c r="P32" s="104">
        <f>IF(OR(N32="", O32=""), "", O32/N32)</f>
        <v/>
      </c>
      <c r="Q32" s="102" t="inlineStr">
        <is>
          <t> </t>
        </is>
      </c>
      <c r="R32" s="102" t="n"/>
      <c r="S32" s="104">
        <f>IF(OR(Q32="", R32=""), "", R32/Q32)</f>
        <v/>
      </c>
      <c r="T32" s="102" t="inlineStr">
        <is>
          <t> </t>
        </is>
      </c>
      <c r="U32" s="102" t="n"/>
      <c r="V32" s="104">
        <f>IF(OR(T32="", U32=""), "", U32/T32)</f>
        <v/>
      </c>
      <c r="W32" s="101" t="n"/>
      <c r="X32" s="101" t="n"/>
      <c r="Y32" s="101" t="n"/>
      <c r="Z32" s="101" t="n"/>
      <c r="AA32" s="101" t="n"/>
      <c r="AB32" s="101" t="n"/>
      <c r="AC32" s="101" t="n"/>
      <c r="AD32" s="101" t="n"/>
      <c r="AE32" s="101" t="n"/>
      <c r="AF32" s="101" t="n"/>
      <c r="AG32" s="101" t="n"/>
      <c r="AH32" s="101" t="n"/>
      <c r="AI32" s="101" t="n"/>
      <c r="AJ32" s="101" t="n"/>
      <c r="AK32" s="101" t="n"/>
      <c r="AL32" s="101" t="n"/>
      <c r="AM32" s="101" t="n"/>
      <c r="AN32" s="101" t="n"/>
    </row>
    <row r="33">
      <c r="C33" s="61" t="inlineStr">
        <is>
          <t> </t>
        </is>
      </c>
      <c r="D33" s="101" t="n"/>
      <c r="E33" s="101" t="n"/>
      <c r="F33" s="101" t="n"/>
      <c r="G33" s="101" t="n"/>
      <c r="H33" s="102" t="inlineStr">
        <is>
          <t> </t>
        </is>
      </c>
      <c r="I33" s="102" t="n"/>
      <c r="J33" s="104">
        <f>IF(OR(H33="", I33=""), "", I33/H33)</f>
        <v/>
      </c>
      <c r="K33" s="102" t="inlineStr">
        <is>
          <t> </t>
        </is>
      </c>
      <c r="L33" s="102" t="n"/>
      <c r="M33" s="104">
        <f>IF(OR(K33="", L33=""), "", L33/K33)</f>
        <v/>
      </c>
      <c r="N33" s="102" t="inlineStr">
        <is>
          <t> </t>
        </is>
      </c>
      <c r="O33" s="102" t="n"/>
      <c r="P33" s="104">
        <f>IF(OR(N33="", O33=""), "", O33/N33)</f>
        <v/>
      </c>
      <c r="Q33" s="102" t="inlineStr">
        <is>
          <t> </t>
        </is>
      </c>
      <c r="R33" s="102" t="n"/>
      <c r="S33" s="104">
        <f>IF(OR(Q33="", R33=""), "", R33/Q33)</f>
        <v/>
      </c>
      <c r="T33" s="102" t="inlineStr">
        <is>
          <t> </t>
        </is>
      </c>
      <c r="U33" s="102" t="n"/>
      <c r="V33" s="104">
        <f>IF(OR(T33="", U33=""), "", U33/T33)</f>
        <v/>
      </c>
      <c r="W33" s="101" t="n"/>
    </row>
    <row r="34">
      <c r="C34" s="61" t="inlineStr">
        <is>
          <t> </t>
        </is>
      </c>
      <c r="D34" s="101" t="n"/>
      <c r="E34" s="101" t="n"/>
      <c r="F34" s="101" t="n"/>
      <c r="G34" s="101" t="n"/>
      <c r="H34" s="102" t="inlineStr">
        <is>
          <t> </t>
        </is>
      </c>
      <c r="I34" s="102" t="n"/>
      <c r="J34" s="104">
        <f>IF(OR(H34="", I34=""), "", I34/H34)</f>
        <v/>
      </c>
      <c r="K34" s="102" t="inlineStr">
        <is>
          <t> </t>
        </is>
      </c>
      <c r="L34" s="102" t="n"/>
      <c r="M34" s="104">
        <f>IF(OR(K34="", L34=""), "", L34/K34)</f>
        <v/>
      </c>
      <c r="N34" s="102" t="inlineStr">
        <is>
          <t> </t>
        </is>
      </c>
      <c r="O34" s="102" t="n"/>
      <c r="P34" s="104">
        <f>IF(OR(N34="", O34=""), "", O34/N34)</f>
        <v/>
      </c>
      <c r="Q34" s="102" t="inlineStr">
        <is>
          <t> </t>
        </is>
      </c>
      <c r="R34" s="102" t="n"/>
      <c r="S34" s="104">
        <f>IF(OR(Q34="", R34=""), "", R34/Q34)</f>
        <v/>
      </c>
      <c r="T34" s="102" t="inlineStr">
        <is>
          <t> </t>
        </is>
      </c>
      <c r="U34" s="102" t="n"/>
      <c r="V34" s="104">
        <f>IF(OR(T34="", U34=""), "", U34/T34)</f>
        <v/>
      </c>
      <c r="W34" s="101" t="n"/>
    </row>
    <row r="35">
      <c r="C35" s="61" t="inlineStr">
        <is>
          <t> </t>
        </is>
      </c>
      <c r="D35" s="101" t="n"/>
      <c r="E35" s="101" t="n"/>
      <c r="F35" s="101" t="n"/>
      <c r="G35" s="101" t="n"/>
      <c r="H35" s="102" t="inlineStr">
        <is>
          <t> </t>
        </is>
      </c>
      <c r="I35" s="102" t="n"/>
      <c r="J35" s="104">
        <f>IF(OR(H35="", I35=""), "", I35/H35)</f>
        <v/>
      </c>
      <c r="K35" s="102" t="inlineStr">
        <is>
          <t> </t>
        </is>
      </c>
      <c r="L35" s="102" t="n"/>
      <c r="M35" s="104">
        <f>IF(OR(K35="", L35=""), "", L35/K35)</f>
        <v/>
      </c>
      <c r="N35" s="102" t="inlineStr">
        <is>
          <t> </t>
        </is>
      </c>
      <c r="O35" s="102" t="n"/>
      <c r="P35" s="104">
        <f>IF(OR(N35="", O35=""), "", O35/N35)</f>
        <v/>
      </c>
      <c r="Q35" s="102" t="inlineStr">
        <is>
          <t> </t>
        </is>
      </c>
      <c r="R35" s="102" t="n"/>
      <c r="S35" s="104">
        <f>IF(OR(Q35="", R35=""), "", R35/Q35)</f>
        <v/>
      </c>
      <c r="T35" s="102" t="inlineStr">
        <is>
          <t> </t>
        </is>
      </c>
      <c r="U35" s="102" t="n"/>
      <c r="V35" s="104">
        <f>IF(OR(T35="", U35=""), "", U35/T35)</f>
        <v/>
      </c>
      <c r="W35" s="101" t="n"/>
    </row>
    <row r="36">
      <c r="C36" s="63" t="inlineStr">
        <is>
          <t> </t>
        </is>
      </c>
      <c r="D36" s="101" t="n"/>
      <c r="E36" s="101" t="n"/>
      <c r="F36" s="101" t="n"/>
      <c r="G36" s="101" t="n"/>
      <c r="H36" s="102" t="inlineStr">
        <is>
          <t> </t>
        </is>
      </c>
      <c r="I36" s="102" t="n"/>
      <c r="J36" s="104">
        <f>IF(OR(H36="", I36=""), "", I36/H36)</f>
        <v/>
      </c>
      <c r="K36" s="102" t="inlineStr">
        <is>
          <t> </t>
        </is>
      </c>
      <c r="L36" s="102" t="n"/>
      <c r="M36" s="104">
        <f>IF(OR(K36="", L36=""), "", L36/K36)</f>
        <v/>
      </c>
      <c r="N36" s="102" t="inlineStr">
        <is>
          <t> </t>
        </is>
      </c>
      <c r="O36" s="102" t="n"/>
      <c r="P36" s="104">
        <f>IF(OR(N36="", O36=""), "", O36/N36)</f>
        <v/>
      </c>
      <c r="Q36" s="102" t="inlineStr">
        <is>
          <t> </t>
        </is>
      </c>
      <c r="R36" s="102" t="n"/>
      <c r="S36" s="104">
        <f>IF(OR(Q36="", R36=""), "", R36/Q36)</f>
        <v/>
      </c>
      <c r="T36" s="102" t="inlineStr">
        <is>
          <t> </t>
        </is>
      </c>
      <c r="U36" s="102" t="n"/>
      <c r="V36" s="104">
        <f>IF(OR(T36="", U36=""), "", U36/T36)</f>
        <v/>
      </c>
      <c r="W36" s="101" t="n"/>
    </row>
    <row r="37">
      <c r="C37" s="102" t="n"/>
      <c r="D37" s="101" t="n"/>
      <c r="E37" s="101" t="n"/>
      <c r="F37" s="101" t="n"/>
      <c r="G37" s="101" t="n"/>
      <c r="H37" s="102" t="inlineStr">
        <is>
          <t> </t>
        </is>
      </c>
      <c r="I37" s="102" t="n"/>
      <c r="J37" s="104">
        <f>IF(OR(H37="", I37=""), "", I37/H37)</f>
        <v/>
      </c>
      <c r="K37" s="102" t="inlineStr">
        <is>
          <t> </t>
        </is>
      </c>
      <c r="L37" s="102" t="n"/>
      <c r="M37" s="104">
        <f>IF(OR(K37="", L37=""), "", L37/K37)</f>
        <v/>
      </c>
      <c r="N37" s="102" t="inlineStr">
        <is>
          <t> </t>
        </is>
      </c>
      <c r="O37" s="102" t="n"/>
      <c r="P37" s="104">
        <f>IF(OR(N37="", O37=""), "", O37/N37)</f>
        <v/>
      </c>
      <c r="Q37" s="102" t="inlineStr">
        <is>
          <t> </t>
        </is>
      </c>
      <c r="R37" s="102" t="n"/>
      <c r="S37" s="104">
        <f>IF(OR(Q37="", R37=""), "", R37/Q37)</f>
        <v/>
      </c>
      <c r="T37" s="102" t="inlineStr">
        <is>
          <t> </t>
        </is>
      </c>
      <c r="U37" s="102" t="n"/>
      <c r="V37" s="104">
        <f>IF(OR(T37="", U37=""), "", U37/T37)</f>
        <v/>
      </c>
      <c r="W37" s="101" t="n"/>
    </row>
    <row r="38">
      <c r="C38" s="102" t="n"/>
      <c r="D38" s="101" t="n"/>
      <c r="E38" s="101" t="n"/>
      <c r="F38" s="101" t="n"/>
      <c r="G38" s="101" t="n"/>
      <c r="H38" s="102" t="inlineStr">
        <is>
          <t> </t>
        </is>
      </c>
      <c r="I38" s="102" t="n"/>
      <c r="J38" s="104">
        <f>IF(OR(H38="", I38=""), "", I38/H38)</f>
        <v/>
      </c>
      <c r="K38" s="102" t="inlineStr">
        <is>
          <t> </t>
        </is>
      </c>
      <c r="L38" s="102" t="n"/>
      <c r="M38" s="104">
        <f>IF(OR(K38="", L38=""), "", L38/K38)</f>
        <v/>
      </c>
      <c r="N38" s="102" t="inlineStr">
        <is>
          <t> </t>
        </is>
      </c>
      <c r="O38" s="102" t="n"/>
      <c r="P38" s="104">
        <f>IF(OR(N38="", O38=""), "", O38/N38)</f>
        <v/>
      </c>
      <c r="Q38" s="102" t="inlineStr">
        <is>
          <t> </t>
        </is>
      </c>
      <c r="R38" s="102" t="n"/>
      <c r="S38" s="104">
        <f>IF(OR(Q38="", R38=""), "", R38/Q38)</f>
        <v/>
      </c>
      <c r="T38" s="102" t="inlineStr">
        <is>
          <t> </t>
        </is>
      </c>
      <c r="U38" s="102" t="n"/>
      <c r="V38" s="104">
        <f>IF(OR(T38="", U38=""), "", U38/T38)</f>
        <v/>
      </c>
      <c r="W38" s="101" t="n"/>
    </row>
    <row r="39">
      <c r="C39" s="101" t="n"/>
      <c r="D39" s="101" t="n"/>
      <c r="E39" s="101" t="n"/>
      <c r="F39" s="101" t="n"/>
      <c r="G39" s="101" t="n"/>
      <c r="H39" s="102" t="inlineStr">
        <is>
          <t> </t>
        </is>
      </c>
      <c r="I39" s="102" t="n"/>
      <c r="J39" s="104">
        <f>IF(OR(H39="", I39=""), "", I39/H39)</f>
        <v/>
      </c>
      <c r="K39" s="102" t="inlineStr">
        <is>
          <t> </t>
        </is>
      </c>
      <c r="L39" s="102" t="n"/>
      <c r="M39" s="104">
        <f>IF(OR(K39="", L39=""), "", L39/K39)</f>
        <v/>
      </c>
      <c r="N39" s="102" t="inlineStr">
        <is>
          <t> </t>
        </is>
      </c>
      <c r="O39" s="102" t="n"/>
      <c r="P39" s="104">
        <f>IF(OR(N39="", O39=""), "", O39/N39)</f>
        <v/>
      </c>
      <c r="Q39" s="102" t="inlineStr">
        <is>
          <t> </t>
        </is>
      </c>
      <c r="R39" s="102" t="n"/>
      <c r="S39" s="104">
        <f>IF(OR(Q39="", R39=""), "", R39/Q39)</f>
        <v/>
      </c>
      <c r="T39" s="102" t="inlineStr">
        <is>
          <t> </t>
        </is>
      </c>
      <c r="U39" s="102" t="n"/>
      <c r="V39" s="104">
        <f>IF(OR(T39="", U39=""), "", U39/T39)</f>
        <v/>
      </c>
      <c r="W39" s="101" t="n"/>
    </row>
    <row r="40">
      <c r="C40" s="101" t="n"/>
      <c r="D40" s="101" t="n"/>
      <c r="E40" s="101" t="n"/>
      <c r="F40" s="101" t="n"/>
      <c r="G40" s="101" t="n"/>
      <c r="H40" s="101" t="n"/>
      <c r="I40" s="101" t="n"/>
      <c r="J40" s="101" t="n"/>
      <c r="K40" s="101" t="n"/>
      <c r="L40" s="101" t="n"/>
      <c r="M40" s="101" t="n"/>
      <c r="N40" s="101" t="n"/>
      <c r="O40" s="101" t="n"/>
      <c r="P40" s="101" t="n"/>
      <c r="Q40" s="101" t="n"/>
      <c r="R40" s="101" t="n"/>
      <c r="S40" s="101" t="n"/>
      <c r="T40" s="101" t="n"/>
      <c r="U40" s="101" t="n"/>
      <c r="V40" s="101" t="n"/>
      <c r="W40" s="101" t="n"/>
    </row>
  </sheetData>
  <mergeCells count="12">
    <mergeCell ref="Q5:S5"/>
    <mergeCell ref="AF5:AH5"/>
    <mergeCell ref="AC5:AE5"/>
    <mergeCell ref="T5:V5"/>
    <mergeCell ref="E5:G5"/>
    <mergeCell ref="K5:M5"/>
    <mergeCell ref="H5:J5"/>
    <mergeCell ref="AI5:AK5"/>
    <mergeCell ref="W5:Y5"/>
    <mergeCell ref="Z5:AB5"/>
    <mergeCell ref="AL5:AN5"/>
    <mergeCell ref="N5:P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2:I271"/>
  <sheetViews>
    <sheetView topLeftCell="D248" workbookViewId="0">
      <selection activeCell="F271" sqref="F271"/>
    </sheetView>
  </sheetViews>
  <sheetFormatPr baseColWidth="8" defaultRowHeight="15"/>
  <cols>
    <col width="13.85546875" customWidth="1" min="1" max="1"/>
    <col width="13.85546875" customWidth="1" style="82" min="2" max="2"/>
    <col width="25.28515625" customWidth="1" min="3" max="4"/>
    <col width="13.28515625" bestFit="1" customWidth="1" min="5" max="5"/>
    <col width="104.42578125" bestFit="1" customWidth="1" style="65" min="6" max="6"/>
    <col hidden="1" width="9.140625" customWidth="1" min="9" max="9"/>
  </cols>
  <sheetData>
    <row r="2" customFormat="1" s="64">
      <c r="A2" s="107" t="inlineStr">
        <is>
          <t>Therapist</t>
        </is>
      </c>
      <c r="B2" s="108" t="inlineStr">
        <is>
          <t>Month</t>
        </is>
      </c>
      <c r="C2" s="107" t="inlineStr">
        <is>
          <t>Client name</t>
        </is>
      </c>
      <c r="D2" s="107" t="inlineStr">
        <is>
          <t>Ceased Services/On Hold</t>
        </is>
      </c>
      <c r="E2" s="107" t="inlineStr">
        <is>
          <t>Client Type</t>
        </is>
      </c>
      <c r="F2" s="109" t="inlineStr">
        <is>
          <t>Reason for ceasing</t>
        </is>
      </c>
      <c r="G2" s="107" t="n"/>
      <c r="H2" s="107" t="n"/>
      <c r="I2" s="107" t="inlineStr">
        <is>
          <t>Therapists</t>
        </is>
      </c>
    </row>
    <row r="3">
      <c r="A3" s="110" t="inlineStr">
        <is>
          <t>Alice</t>
        </is>
      </c>
      <c r="B3" s="111" t="n">
        <v>45839</v>
      </c>
      <c r="C3" s="110" t="inlineStr">
        <is>
          <t>Ursula Fredes-Ojeda</t>
        </is>
      </c>
      <c r="D3" s="110" t="inlineStr">
        <is>
          <t>Ceased Services</t>
        </is>
      </c>
      <c r="E3" s="110" t="n"/>
      <c r="F3" s="112" t="inlineStr">
        <is>
          <t>Wants male physio in the area</t>
        </is>
      </c>
      <c r="G3" s="113" t="n"/>
      <c r="H3" s="113" t="n"/>
      <c r="I3" s="113" t="inlineStr">
        <is>
          <t>Alice</t>
        </is>
      </c>
    </row>
    <row r="4" ht="30" customHeight="1">
      <c r="A4" s="110" t="inlineStr">
        <is>
          <t>Alice</t>
        </is>
      </c>
      <c r="B4" s="111" t="n">
        <v>45839</v>
      </c>
      <c r="C4" s="110" t="inlineStr">
        <is>
          <t>Olivia Baker</t>
        </is>
      </c>
      <c r="D4" s="110" t="inlineStr">
        <is>
          <t>Ceased Services</t>
        </is>
      </c>
      <c r="E4" s="110" t="n"/>
      <c r="F4" s="112" t="inlineStr">
        <is>
          <t>On hold Feb 2025 - Remaining funds used for report instead of sessions - plan ending 5/6/25
Offboarded 16/7 - plan has ended and sc hasn’t gotten back to us.</t>
        </is>
      </c>
      <c r="G4" s="113" t="n"/>
      <c r="H4" s="113" t="n"/>
      <c r="I4" s="113" t="inlineStr">
        <is>
          <t>April</t>
        </is>
      </c>
    </row>
    <row r="5" ht="45" customHeight="1">
      <c r="A5" s="110" t="inlineStr">
        <is>
          <t>Alice</t>
        </is>
      </c>
      <c r="B5" s="111" t="n">
        <v>45839</v>
      </c>
      <c r="C5" s="110" t="inlineStr">
        <is>
          <t>Stuart Bennier</t>
        </is>
      </c>
      <c r="D5" s="110" t="inlineStr">
        <is>
          <t>Ceased Services</t>
        </is>
      </c>
      <c r="E5" s="110" t="n"/>
      <c r="F5" s="112" t="inlineStr">
        <is>
          <t>Working with a different physio - Physio services cancelled effective immediately - As previously advised, Stuart is currently working with a different physiotherapist. I had clearly outlined in my earlier correspondence that only Occupational Therapy services are required from Melbourne Physio, not Physiotherapy.</t>
        </is>
      </c>
      <c r="G5" s="113" t="n"/>
      <c r="H5" s="113" t="n"/>
      <c r="I5" s="113" t="inlineStr">
        <is>
          <t>Beth</t>
        </is>
      </c>
    </row>
    <row r="6">
      <c r="A6" s="110" t="inlineStr">
        <is>
          <t>Alice</t>
        </is>
      </c>
      <c r="B6" s="111" t="n">
        <v>45839</v>
      </c>
      <c r="C6" s="110" t="inlineStr">
        <is>
          <t>Sotiria Niaros</t>
        </is>
      </c>
      <c r="D6" s="110" t="inlineStr">
        <is>
          <t>Ceased Services</t>
        </is>
      </c>
      <c r="E6" s="110" t="n"/>
      <c r="F6" s="112" t="inlineStr">
        <is>
          <t>Family decided to discontinue services</t>
        </is>
      </c>
      <c r="G6" s="113" t="n"/>
      <c r="H6" s="113" t="n"/>
      <c r="I6" s="113" t="inlineStr">
        <is>
          <t>Chris</t>
        </is>
      </c>
    </row>
    <row r="7">
      <c r="A7" s="110" t="inlineStr">
        <is>
          <t>Beth</t>
        </is>
      </c>
      <c r="B7" s="111" t="n">
        <v>45839</v>
      </c>
      <c r="C7" s="110" t="inlineStr">
        <is>
          <t>Uncle Lenny Evans</t>
        </is>
      </c>
      <c r="D7" s="110" t="inlineStr">
        <is>
          <t>Ceased Services</t>
        </is>
      </c>
      <c r="E7" s="110" t="n"/>
      <c r="F7" s="112" t="inlineStr">
        <is>
          <t>feels physio is not working and he will be getting a massage chair instead</t>
        </is>
      </c>
      <c r="G7" s="113" t="n"/>
      <c r="H7" s="113" t="n"/>
      <c r="I7" s="113" t="inlineStr">
        <is>
          <t>Danny</t>
        </is>
      </c>
    </row>
    <row r="8">
      <c r="A8" s="110" t="inlineStr">
        <is>
          <t>Eva</t>
        </is>
      </c>
      <c r="B8" s="111" t="n">
        <v>45839</v>
      </c>
      <c r="C8" s="110" t="inlineStr">
        <is>
          <t>Valerie Perry</t>
        </is>
      </c>
      <c r="D8" s="110" t="inlineStr">
        <is>
          <t>Ceased Services</t>
        </is>
      </c>
      <c r="E8" s="110" t="n"/>
      <c r="F8" s="112" t="inlineStr">
        <is>
          <t>Referral was only for equipment, ongoing not required</t>
        </is>
      </c>
      <c r="G8" s="113" t="n"/>
      <c r="H8" s="113" t="n"/>
      <c r="I8" s="113" t="inlineStr">
        <is>
          <t>Elizabeth</t>
        </is>
      </c>
    </row>
    <row r="9">
      <c r="A9" s="110" t="inlineStr">
        <is>
          <t>Eva</t>
        </is>
      </c>
      <c r="B9" s="111" t="n">
        <v>45839</v>
      </c>
      <c r="C9" s="110" t="inlineStr">
        <is>
          <t>Giancarlo Pera</t>
        </is>
      </c>
      <c r="D9" s="110" t="inlineStr">
        <is>
          <t>Ceased Services</t>
        </is>
      </c>
      <c r="E9" s="110" t="n"/>
      <c r="F9" s="112" t="inlineStr">
        <is>
          <t>Neck feels better and has many appointments going on</t>
        </is>
      </c>
      <c r="G9" s="113" t="n"/>
      <c r="H9" s="113" t="n"/>
      <c r="I9" s="113" t="inlineStr">
        <is>
          <t>Eva</t>
        </is>
      </c>
    </row>
    <row r="10">
      <c r="A10" s="110" t="inlineStr">
        <is>
          <t>Eva</t>
        </is>
      </c>
      <c r="B10" s="111" t="n">
        <v>45839</v>
      </c>
      <c r="C10" s="110" t="inlineStr">
        <is>
          <t>Corey Saffin</t>
        </is>
      </c>
      <c r="D10" s="110" t="inlineStr">
        <is>
          <t>Ceased Services</t>
        </is>
      </c>
      <c r="E10" s="110" t="n"/>
      <c r="F10" s="112" t="inlineStr">
        <is>
          <t>No funds in new plan</t>
        </is>
      </c>
      <c r="G10" s="113" t="n"/>
      <c r="H10" s="113" t="n"/>
      <c r="I10" s="113" t="inlineStr">
        <is>
          <t>Felina</t>
        </is>
      </c>
    </row>
    <row r="11">
      <c r="A11" s="110" t="inlineStr">
        <is>
          <t>Felina</t>
        </is>
      </c>
      <c r="B11" s="111" t="n">
        <v>45839</v>
      </c>
      <c r="C11" s="110" t="inlineStr">
        <is>
          <t>Dwayne Rushton</t>
        </is>
      </c>
      <c r="D11" s="110" t="inlineStr">
        <is>
          <t>Ceased Services</t>
        </is>
      </c>
      <c r="E11" s="110" t="n"/>
      <c r="F11" s="112" t="inlineStr">
        <is>
          <t>Client request due to MMP cancellations</t>
        </is>
      </c>
      <c r="G11" s="113" t="n"/>
      <c r="H11" s="113" t="n"/>
      <c r="I11" s="113" t="inlineStr">
        <is>
          <t>Janice</t>
        </is>
      </c>
    </row>
    <row r="12">
      <c r="A12" s="110" t="inlineStr">
        <is>
          <t>Felina</t>
        </is>
      </c>
      <c r="B12" s="111" t="n">
        <v>45839</v>
      </c>
      <c r="C12" s="110" t="inlineStr">
        <is>
          <t>Nha Fa Si</t>
        </is>
      </c>
      <c r="D12" s="110" t="inlineStr">
        <is>
          <t>Ceased Services</t>
        </is>
      </c>
      <c r="E12" s="110" t="n"/>
      <c r="F12" s="112" t="inlineStr">
        <is>
          <t>son requested to cease the physio due to the cost unfortunately</t>
        </is>
      </c>
      <c r="G12" s="113" t="n"/>
      <c r="H12" s="113" t="n"/>
      <c r="I12" s="113" t="inlineStr">
        <is>
          <t>Jay</t>
        </is>
      </c>
    </row>
    <row r="13" ht="30" customHeight="1">
      <c r="A13" s="110" t="inlineStr">
        <is>
          <t>Felina</t>
        </is>
      </c>
      <c r="B13" s="111" t="n">
        <v>45839</v>
      </c>
      <c r="C13" s="110" t="inlineStr">
        <is>
          <t>Lief Pangestu</t>
        </is>
      </c>
      <c r="D13" s="110" t="inlineStr">
        <is>
          <t>Ceased Services</t>
        </is>
      </c>
      <c r="E13" s="110" t="n"/>
      <c r="F13" s="114" t="inlineStr">
        <is>
          <t>On hold since 7/5/25 - Ceased as he has been on hold and said when he msgd felina to resume he didnt hear back from her. Declined a free session</t>
        </is>
      </c>
      <c r="G13" s="113" t="n"/>
      <c r="H13" s="113" t="n"/>
      <c r="I13" s="113" t="inlineStr">
        <is>
          <t>Maddie</t>
        </is>
      </c>
    </row>
    <row r="14">
      <c r="A14" s="110" t="inlineStr">
        <is>
          <t>Janice</t>
        </is>
      </c>
      <c r="B14" s="111" t="n">
        <v>45839</v>
      </c>
      <c r="C14" s="110" t="inlineStr">
        <is>
          <t>Charlie Welch</t>
        </is>
      </c>
      <c r="D14" s="110" t="inlineStr">
        <is>
          <t>Ceased Services</t>
        </is>
      </c>
      <c r="E14" s="110" t="n"/>
      <c r="F14" s="114" t="inlineStr">
        <is>
          <t>From SC: Charlie has advised me she would no longer wants to proceed ahead with your services</t>
        </is>
      </c>
      <c r="G14" s="113" t="n"/>
      <c r="H14" s="113" t="n"/>
      <c r="I14" s="113" t="inlineStr">
        <is>
          <t>Marco</t>
        </is>
      </c>
    </row>
    <row r="15">
      <c r="A15" s="110" t="inlineStr">
        <is>
          <t>Janice</t>
        </is>
      </c>
      <c r="B15" s="111" t="n">
        <v>45839</v>
      </c>
      <c r="C15" s="110" t="inlineStr">
        <is>
          <t>June Davis</t>
        </is>
      </c>
      <c r="D15" s="110" t="inlineStr">
        <is>
          <t>Ceased Services</t>
        </is>
      </c>
      <c r="E15" s="110" t="n"/>
      <c r="F15" s="112" t="inlineStr">
        <is>
          <t>Feeling better and doesn't need in home physio anymore</t>
        </is>
      </c>
      <c r="G15" s="113" t="n"/>
      <c r="H15" s="113" t="n"/>
      <c r="I15" s="113" t="inlineStr">
        <is>
          <t>Raj</t>
        </is>
      </c>
    </row>
    <row r="16">
      <c r="A16" s="110" t="inlineStr">
        <is>
          <t>Jay</t>
        </is>
      </c>
      <c r="B16" s="111" t="n">
        <v>45839</v>
      </c>
      <c r="C16" s="110" t="inlineStr">
        <is>
          <t>Alexander Hutchinson</t>
        </is>
      </c>
      <c r="D16" s="110" t="inlineStr">
        <is>
          <t>Ceased Services</t>
        </is>
      </c>
      <c r="E16" s="110" t="n"/>
      <c r="F16" s="112" t="inlineStr">
        <is>
          <t>No longer wants physio</t>
        </is>
      </c>
      <c r="G16" s="113" t="n"/>
      <c r="H16" s="113" t="n"/>
      <c r="I16" s="113" t="inlineStr">
        <is>
          <t>Shirley</t>
        </is>
      </c>
    </row>
    <row r="17">
      <c r="A17" s="110" t="inlineStr">
        <is>
          <t>Jay</t>
        </is>
      </c>
      <c r="B17" s="111" t="n">
        <v>45839</v>
      </c>
      <c r="C17" s="110" t="inlineStr">
        <is>
          <t xml:space="preserve">Bruce Johnstone </t>
        </is>
      </c>
      <c r="D17" s="110" t="inlineStr">
        <is>
          <t>Ceased Services</t>
        </is>
      </c>
      <c r="E17" s="110" t="n"/>
      <c r="F17" s="112" t="inlineStr">
        <is>
          <t>No funds in new plan</t>
        </is>
      </c>
      <c r="G17" s="113" t="n"/>
      <c r="H17" s="113" t="n"/>
      <c r="I17" s="113" t="inlineStr">
        <is>
          <t>Simran</t>
        </is>
      </c>
    </row>
    <row r="18">
      <c r="A18" s="110" t="inlineStr">
        <is>
          <t>Jay</t>
        </is>
      </c>
      <c r="B18" s="111" t="n">
        <v>45839</v>
      </c>
      <c r="C18" s="110" t="inlineStr">
        <is>
          <t>Kerri Ann Nickson</t>
        </is>
      </c>
      <c r="D18" s="110" t="inlineStr">
        <is>
          <t>Ceased Services</t>
        </is>
      </c>
      <c r="E18" s="110" t="n"/>
      <c r="F18" s="112" t="inlineStr">
        <is>
          <t>unhappy to be charged late fee and requested to cease service</t>
        </is>
      </c>
      <c r="G18" s="113" t="n"/>
      <c r="H18" s="113" t="n"/>
      <c r="I18" s="113" t="inlineStr">
        <is>
          <t>Stephanie</t>
        </is>
      </c>
    </row>
    <row r="19">
      <c r="A19" s="110" t="inlineStr">
        <is>
          <t>Jay</t>
        </is>
      </c>
      <c r="B19" s="111" t="n">
        <v>45839</v>
      </c>
      <c r="C19" s="110" t="inlineStr">
        <is>
          <t>Mediha Orakci</t>
        </is>
      </c>
      <c r="D19" s="110" t="inlineStr">
        <is>
          <t>Ceased Services</t>
        </is>
      </c>
      <c r="E19" s="110" t="n"/>
      <c r="F19" s="112" t="inlineStr">
        <is>
          <t>Moving to Turkey</t>
        </is>
      </c>
      <c r="G19" s="113" t="n"/>
      <c r="H19" s="113" t="n"/>
      <c r="I19" s="113" t="inlineStr">
        <is>
          <t>Stephen</t>
        </is>
      </c>
    </row>
    <row r="20">
      <c r="A20" s="110" t="inlineStr">
        <is>
          <t>Jay</t>
        </is>
      </c>
      <c r="B20" s="111" t="n">
        <v>45839</v>
      </c>
      <c r="C20" s="110" t="inlineStr">
        <is>
          <t>Rebecca Vika</t>
        </is>
      </c>
      <c r="D20" s="110" t="inlineStr">
        <is>
          <t>Ceased Services</t>
        </is>
      </c>
      <c r="E20" s="110" t="n"/>
      <c r="F20" s="114" t="inlineStr">
        <is>
          <t>SW called to cease services - admin have emailed SC to follow up</t>
        </is>
      </c>
      <c r="G20" s="113" t="n"/>
      <c r="H20" s="113" t="n"/>
      <c r="I20" s="113" t="inlineStr">
        <is>
          <t>Vincent</t>
        </is>
      </c>
    </row>
    <row r="21" ht="30" customHeight="1">
      <c r="A21" s="110" t="inlineStr">
        <is>
          <t>Maddie</t>
        </is>
      </c>
      <c r="B21" s="111" t="n">
        <v>45839</v>
      </c>
      <c r="C21" s="110" t="inlineStr">
        <is>
          <t>Ann Blackburn</t>
        </is>
      </c>
      <c r="D21" s="110" t="inlineStr">
        <is>
          <t>Ceased Services</t>
        </is>
      </c>
      <c r="E21" s="110" t="n"/>
      <c r="F21" s="112" t="inlineStr">
        <is>
          <t>deemed as inappropriate for Physiotherapy as her dementia has progressed and she hasn’t been engaging in exercises.</t>
        </is>
      </c>
      <c r="G21" s="113" t="n"/>
      <c r="H21" s="113" t="n"/>
      <c r="I21" s="113" t="inlineStr">
        <is>
          <t>Amanda</t>
        </is>
      </c>
    </row>
    <row r="22">
      <c r="A22" s="110" t="inlineStr">
        <is>
          <t>Maddie</t>
        </is>
      </c>
      <c r="B22" s="111" t="n">
        <v>45839</v>
      </c>
      <c r="C22" s="110" t="inlineStr">
        <is>
          <t>Peter Maple</t>
        </is>
      </c>
      <c r="D22" s="110" t="inlineStr">
        <is>
          <t>Ceased Services</t>
        </is>
      </c>
      <c r="E22" s="110" t="n"/>
      <c r="F22" s="112" t="inlineStr">
        <is>
          <t>can’t afford to continue due to financials</t>
        </is>
      </c>
      <c r="G22" s="113" t="n"/>
      <c r="H22" s="113" t="n"/>
      <c r="I22" s="113" t="inlineStr">
        <is>
          <t>Dan H</t>
        </is>
      </c>
    </row>
    <row r="23">
      <c r="A23" s="110" t="inlineStr">
        <is>
          <t>Raj</t>
        </is>
      </c>
      <c r="B23" s="111" t="n">
        <v>45839</v>
      </c>
      <c r="C23" s="110" t="inlineStr">
        <is>
          <t>Helmut Drobbe</t>
        </is>
      </c>
      <c r="D23" s="110" t="inlineStr">
        <is>
          <t>Ceased Services</t>
        </is>
      </c>
      <c r="E23" s="110" t="n"/>
      <c r="F23" s="112" t="inlineStr">
        <is>
          <t>Doesn't need physio at this stage</t>
        </is>
      </c>
      <c r="G23" s="113" t="n"/>
      <c r="H23" s="113" t="n"/>
      <c r="I23" s="113" t="n"/>
    </row>
    <row r="24">
      <c r="A24" s="110" t="inlineStr">
        <is>
          <t>Simran</t>
        </is>
      </c>
      <c r="B24" s="111" t="n">
        <v>45839</v>
      </c>
      <c r="C24" s="110" t="inlineStr">
        <is>
          <t>Kanella Boussioutas</t>
        </is>
      </c>
      <c r="D24" s="110" t="inlineStr">
        <is>
          <t>Ceased Services</t>
        </is>
      </c>
      <c r="E24" s="110" t="n"/>
      <c r="F24" s="112" t="inlineStr">
        <is>
          <t>CM emailed to cease services</t>
        </is>
      </c>
      <c r="G24" s="113" t="n"/>
      <c r="H24" s="113" t="n"/>
      <c r="I24" s="113" t="n"/>
    </row>
    <row r="25" ht="30" customHeight="1">
      <c r="A25" s="110" t="inlineStr">
        <is>
          <t>Simran</t>
        </is>
      </c>
      <c r="B25" s="111" t="n">
        <v>45839</v>
      </c>
      <c r="C25" s="110" t="inlineStr">
        <is>
          <t>Martine Hyde</t>
        </is>
      </c>
      <c r="D25" s="110" t="inlineStr">
        <is>
          <t>Ceased Services</t>
        </is>
      </c>
      <c r="E25" s="110" t="n"/>
      <c r="F25" s="112" t="inlineStr">
        <is>
          <t>14/7/25 Offboarded - Martine's NDIS plan has rolled over, but she has decided not to continue with physiotherapy services at this time.</t>
        </is>
      </c>
      <c r="G25" s="113" t="n"/>
      <c r="H25" s="113" t="n"/>
      <c r="I25" s="113" t="n"/>
    </row>
    <row r="26">
      <c r="A26" s="110" t="inlineStr">
        <is>
          <t>Stephanie</t>
        </is>
      </c>
      <c r="B26" s="111" t="n">
        <v>45839</v>
      </c>
      <c r="C26" s="110" t="inlineStr">
        <is>
          <t>Gael Lynas</t>
        </is>
      </c>
      <c r="D26" s="110" t="inlineStr">
        <is>
          <t>Ceased Services</t>
        </is>
      </c>
      <c r="E26" s="110" t="n"/>
      <c r="F26" s="112" t="inlineStr">
        <is>
          <t>Transition to EP as part of new plan</t>
        </is>
      </c>
      <c r="G26" s="113" t="n"/>
      <c r="H26" s="113" t="n"/>
      <c r="I26" s="113" t="n"/>
    </row>
    <row r="27">
      <c r="A27" s="110" t="inlineStr">
        <is>
          <t>Stephen</t>
        </is>
      </c>
      <c r="B27" s="111" t="n">
        <v>45839</v>
      </c>
      <c r="C27" s="110" t="inlineStr">
        <is>
          <t>Jackie Cardente</t>
        </is>
      </c>
      <c r="D27" s="110" t="inlineStr">
        <is>
          <t>Ceased Services</t>
        </is>
      </c>
      <c r="E27" s="110" t="n"/>
      <c r="F27" s="112" t="inlineStr">
        <is>
          <t>Don't have any physios that suit her needs</t>
        </is>
      </c>
      <c r="G27" s="113" t="n"/>
      <c r="H27" s="113" t="n"/>
      <c r="I27" s="113" t="n"/>
    </row>
    <row r="28">
      <c r="A28" s="110" t="inlineStr">
        <is>
          <t>Stephen</t>
        </is>
      </c>
      <c r="B28" s="111" t="n">
        <v>45839</v>
      </c>
      <c r="C28" s="110" t="inlineStr">
        <is>
          <t>Maria Metaxas</t>
        </is>
      </c>
      <c r="D28" s="110" t="inlineStr">
        <is>
          <t>Ceased Services</t>
        </is>
      </c>
      <c r="E28" s="110" t="n"/>
      <c r="F28" s="112" t="inlineStr">
        <is>
          <t>Once off request, services no longer required</t>
        </is>
      </c>
      <c r="G28" s="113" t="n"/>
      <c r="H28" s="113" t="n"/>
      <c r="I28" s="113" t="n"/>
    </row>
    <row r="29">
      <c r="A29" s="110" t="inlineStr">
        <is>
          <t>Stephen</t>
        </is>
      </c>
      <c r="B29" s="111" t="n">
        <v>45839</v>
      </c>
      <c r="C29" s="110" t="inlineStr">
        <is>
          <t>David Plot</t>
        </is>
      </c>
      <c r="D29" s="110" t="inlineStr">
        <is>
          <t>Ceased Services</t>
        </is>
      </c>
      <c r="E29" s="110" t="n"/>
      <c r="F29" s="112" t="inlineStr">
        <is>
          <t>Services no longer required</t>
        </is>
      </c>
      <c r="G29" s="113" t="n"/>
      <c r="H29" s="113" t="n"/>
      <c r="I29" s="113" t="n"/>
    </row>
    <row r="30">
      <c r="A30" s="110" t="inlineStr">
        <is>
          <t>Vincent</t>
        </is>
      </c>
      <c r="B30" s="111" t="n">
        <v>45839</v>
      </c>
      <c r="C30" s="110" t="inlineStr">
        <is>
          <t>Kathleen Stewart</t>
        </is>
      </c>
      <c r="D30" s="110" t="inlineStr">
        <is>
          <t>Ceased Services</t>
        </is>
      </c>
      <c r="E30" s="110" t="n"/>
      <c r="F30" s="112" t="inlineStr">
        <is>
          <t>No longer requires physio</t>
        </is>
      </c>
      <c r="G30" s="113" t="n"/>
      <c r="H30" s="113" t="n"/>
      <c r="I30" s="113" t="n"/>
    </row>
    <row r="31">
      <c r="A31" s="110" t="inlineStr">
        <is>
          <t>Vincent</t>
        </is>
      </c>
      <c r="B31" s="111" t="n">
        <v>45839</v>
      </c>
      <c r="C31" s="110" t="inlineStr">
        <is>
          <t>Daniel Jamison</t>
        </is>
      </c>
      <c r="D31" s="110" t="inlineStr">
        <is>
          <t>Ceased Services</t>
        </is>
      </c>
      <c r="E31" s="110" t="n"/>
      <c r="F31" s="112" t="inlineStr">
        <is>
          <t>Will be handed over to a Clinic Physio from aug</t>
        </is>
      </c>
      <c r="G31" s="113" t="n"/>
      <c r="H31" s="113" t="n"/>
      <c r="I31" s="113" t="n"/>
    </row>
    <row r="32">
      <c r="A32" s="110" t="inlineStr">
        <is>
          <t>Vincent</t>
        </is>
      </c>
      <c r="B32" s="111" t="n">
        <v>45839</v>
      </c>
      <c r="C32" s="110" t="inlineStr">
        <is>
          <t>Ruya Hashmi</t>
        </is>
      </c>
      <c r="D32" s="110" t="inlineStr">
        <is>
          <t>Ceased Services</t>
        </is>
      </c>
      <c r="E32" s="110" t="n"/>
      <c r="F32" s="112" t="inlineStr">
        <is>
          <t>Ruya cant afford 45mins sessions and Insurance wont be paying.</t>
        </is>
      </c>
      <c r="G32" s="113" t="n"/>
      <c r="H32" s="113" t="n"/>
      <c r="I32" s="113" t="n"/>
    </row>
    <row r="33" ht="45" customHeight="1">
      <c r="A33" s="110" t="inlineStr">
        <is>
          <t>April</t>
        </is>
      </c>
      <c r="B33" s="111" t="n">
        <v>45839</v>
      </c>
      <c r="C33" s="110" t="inlineStr">
        <is>
          <t>Kerryn Wright</t>
        </is>
      </c>
      <c r="D33" s="110" t="inlineStr">
        <is>
          <t>On Hold</t>
        </is>
      </c>
      <c r="E33" s="110" t="n"/>
      <c r="F33" s="112" t="inlineStr">
        <is>
          <t>she is currently having some health issues and is unable to push herself with Physiotherapy due to her lungs being inflamed. She must have tests for oxygen volumes etc and is finding any exertion is adding to the discomfort in her lungs and having to use her oxygen again</t>
        </is>
      </c>
    </row>
    <row r="34">
      <c r="A34" s="110" t="inlineStr">
        <is>
          <t>Alice</t>
        </is>
      </c>
      <c r="B34" s="111" t="n">
        <v>45870</v>
      </c>
      <c r="C34" s="110" t="inlineStr">
        <is>
          <t>Faduma Hassan</t>
        </is>
      </c>
      <c r="D34" s="110" t="inlineStr">
        <is>
          <t>Ceased Services</t>
        </is>
      </c>
      <c r="E34" s="110" t="inlineStr">
        <is>
          <t>HC</t>
        </is>
      </c>
      <c r="F34" s="112" t="inlineStr">
        <is>
          <t>Went with another provider for hydro</t>
        </is>
      </c>
    </row>
    <row r="35">
      <c r="A35" s="110" t="inlineStr">
        <is>
          <t>Felina</t>
        </is>
      </c>
      <c r="B35" s="111" t="n">
        <v>45870</v>
      </c>
      <c r="C35" s="110" t="inlineStr">
        <is>
          <t>Ralph Barthelot</t>
        </is>
      </c>
      <c r="D35" s="110" t="inlineStr">
        <is>
          <t>On Hold</t>
        </is>
      </c>
      <c r="E35" s="110" t="n"/>
      <c r="F35" s="115" t="inlineStr">
        <is>
          <t>decided not to proceed with weekly physiotherapy sessions - no further feedback provided</t>
        </is>
      </c>
    </row>
    <row r="36">
      <c r="A36" s="110" t="inlineStr">
        <is>
          <t>Raj</t>
        </is>
      </c>
      <c r="B36" s="111" t="n">
        <v>45870</v>
      </c>
      <c r="C36" s="110" t="inlineStr">
        <is>
          <t>Marie Francoise Gobbi</t>
        </is>
      </c>
      <c r="D36" s="110" t="inlineStr">
        <is>
          <t>On Hold</t>
        </is>
      </c>
      <c r="E36" s="110" t="n"/>
      <c r="F36" s="115" t="inlineStr">
        <is>
          <t>CM: Please put this on hold for now as the client is very resistive to the Physio sessions.</t>
        </is>
      </c>
    </row>
    <row r="37">
      <c r="A37" s="110" t="inlineStr">
        <is>
          <t>Alice</t>
        </is>
      </c>
      <c r="B37" s="111" t="n">
        <v>45870</v>
      </c>
      <c r="C37" s="110" t="inlineStr">
        <is>
          <t>Paul Omera</t>
        </is>
      </c>
      <c r="D37" s="110" t="inlineStr">
        <is>
          <t>Ceased Services</t>
        </is>
      </c>
      <c r="E37" s="110" t="inlineStr">
        <is>
          <t>TAC</t>
        </is>
      </c>
      <c r="F37" s="115" t="inlineStr">
        <is>
          <t>TAC approved for in clinic now</t>
        </is>
      </c>
    </row>
    <row r="38">
      <c r="A38" s="110" t="inlineStr">
        <is>
          <t>Alice</t>
        </is>
      </c>
      <c r="B38" s="111" t="n">
        <v>45870</v>
      </c>
      <c r="C38" s="110" t="inlineStr">
        <is>
          <t>Vivien Omera</t>
        </is>
      </c>
      <c r="D38" s="110" t="inlineStr">
        <is>
          <t>Ceased Services</t>
        </is>
      </c>
      <c r="E38" s="110" t="inlineStr">
        <is>
          <t>TAC</t>
        </is>
      </c>
      <c r="F38" s="115" t="inlineStr">
        <is>
          <t>TAC approved for in clinic now</t>
        </is>
      </c>
    </row>
    <row r="39">
      <c r="A39" s="110" t="inlineStr">
        <is>
          <t>Alice</t>
        </is>
      </c>
      <c r="B39" s="111" t="n">
        <v>45870</v>
      </c>
      <c r="C39" s="110" t="inlineStr">
        <is>
          <t>David King</t>
        </is>
      </c>
      <c r="D39" s="110" t="inlineStr">
        <is>
          <t>Ceased Services</t>
        </is>
      </c>
      <c r="E39" s="110" t="inlineStr">
        <is>
          <t>HC</t>
        </is>
      </c>
      <c r="F39" s="112" t="inlineStr">
        <is>
          <t>No future appts, hasn't had appt since December 2024</t>
        </is>
      </c>
    </row>
    <row r="40">
      <c r="A40" s="110" t="inlineStr">
        <is>
          <t>April</t>
        </is>
      </c>
      <c r="B40" s="111" t="n">
        <v>45870</v>
      </c>
      <c r="C40" s="110" t="inlineStr">
        <is>
          <t>Deanne Leslie</t>
        </is>
      </c>
      <c r="D40" s="110" t="inlineStr">
        <is>
          <t>On Hold</t>
        </is>
      </c>
      <c r="E40" s="110" t="n"/>
      <c r="F40" s="112" t="inlineStr">
        <is>
          <t>Low funding</t>
        </is>
      </c>
    </row>
    <row r="41">
      <c r="A41" s="110" t="inlineStr">
        <is>
          <t>Alice</t>
        </is>
      </c>
      <c r="B41" s="111" t="n">
        <v>45870</v>
      </c>
      <c r="C41" s="110" t="inlineStr">
        <is>
          <t>Daniar Karimi</t>
        </is>
      </c>
      <c r="D41" s="110" t="inlineStr">
        <is>
          <t>Ceased Services</t>
        </is>
      </c>
      <c r="E41" s="110" t="inlineStr">
        <is>
          <t>NDIS</t>
        </is>
      </c>
      <c r="F41" s="112" t="inlineStr">
        <is>
          <t>Unhappy with service</t>
        </is>
      </c>
    </row>
    <row r="42" ht="60" customHeight="1">
      <c r="A42" s="110" t="inlineStr">
        <is>
          <t>April</t>
        </is>
      </c>
      <c r="B42" s="111" t="n">
        <v>45870</v>
      </c>
      <c r="C42" s="110" t="inlineStr">
        <is>
          <t>John Mead</t>
        </is>
      </c>
      <c r="D42" s="110" t="inlineStr">
        <is>
          <t>Ceased Services</t>
        </is>
      </c>
      <c r="E42" s="110" t="inlineStr">
        <is>
          <t>HC</t>
        </is>
      </c>
      <c r="F42" s="115" t="inlineStr">
        <is>
          <t>I would like to cancel my client John Mead’s physiotherapy service moving forward due to his HCP being needed for other essential services.
I would like to thank the physiotherapist for her support during this time and the positive impact that it has had for John. Should he wish to re-engage with MMP I will let you know.</t>
        </is>
      </c>
    </row>
    <row r="43" ht="30" customHeight="1">
      <c r="A43" s="110" t="inlineStr">
        <is>
          <t>April</t>
        </is>
      </c>
      <c r="B43" s="111" t="n">
        <v>45870</v>
      </c>
      <c r="C43" s="110" t="inlineStr">
        <is>
          <t>Kevin Leacy</t>
        </is>
      </c>
      <c r="D43" s="110" t="inlineStr">
        <is>
          <t>Ceased Services</t>
        </is>
      </c>
      <c r="E43" s="110" t="inlineStr">
        <is>
          <t>HC</t>
        </is>
      </c>
      <c r="F43" s="115" t="inlineStr">
        <is>
          <t>I went out to see Kevin today and discussed physio however he feels that he doesn’t need to continue with services as he is doing well now however if he needs services in the future I will be in touch.</t>
        </is>
      </c>
    </row>
    <row r="44">
      <c r="A44" s="110" t="inlineStr">
        <is>
          <t>Alice</t>
        </is>
      </c>
      <c r="B44" s="111" t="n">
        <v>45870</v>
      </c>
      <c r="C44" s="110" t="inlineStr">
        <is>
          <t>Peter King</t>
        </is>
      </c>
      <c r="D44" s="112" t="inlineStr">
        <is>
          <t>On Hold</t>
        </is>
      </c>
      <c r="E44" s="112" t="n"/>
      <c r="F44" s="112" t="inlineStr">
        <is>
          <t>Cancelled initial appt - can’t do physio for 6 weeks</t>
        </is>
      </c>
    </row>
    <row r="45">
      <c r="A45" s="110" t="inlineStr">
        <is>
          <t>Beth</t>
        </is>
      </c>
      <c r="B45" s="111" t="n">
        <v>45870</v>
      </c>
      <c r="C45" s="110" t="inlineStr">
        <is>
          <t>Rosa Ciccone</t>
        </is>
      </c>
      <c r="D45" s="110" t="inlineStr">
        <is>
          <t>Ceased Services</t>
        </is>
      </c>
      <c r="E45" s="110" t="inlineStr">
        <is>
          <t>HC</t>
        </is>
      </c>
      <c r="F45" s="112" t="inlineStr">
        <is>
          <t>unhappy with recent cancellations due to beth being unwell</t>
        </is>
      </c>
    </row>
    <row r="46" ht="30" customHeight="1">
      <c r="A46" s="110" t="inlineStr">
        <is>
          <t>Marco</t>
        </is>
      </c>
      <c r="B46" s="111" t="n">
        <v>45870</v>
      </c>
      <c r="C46" s="110" t="inlineStr">
        <is>
          <t>Larry Carrigan</t>
        </is>
      </c>
      <c r="D46" s="110" t="inlineStr">
        <is>
          <t>On Hold</t>
        </is>
      </c>
      <c r="E46" s="110" t="n"/>
      <c r="F46" s="115" t="inlineStr">
        <is>
          <t>Larry received a new plan but unfortunately it didn’t contain funding for Physio we’ve currently got a review being worked on by NDIS to fix the situation and we should be able to resume services when this is sorted.</t>
        </is>
      </c>
    </row>
    <row r="47">
      <c r="A47" s="110" t="inlineStr">
        <is>
          <t>Beth</t>
        </is>
      </c>
      <c r="B47" s="111" t="n">
        <v>45870</v>
      </c>
      <c r="C47" s="110" t="inlineStr">
        <is>
          <t>Jenny Murphy</t>
        </is>
      </c>
      <c r="D47" s="110" t="inlineStr">
        <is>
          <t>Ceased Services</t>
        </is>
      </c>
      <c r="E47" s="110" t="inlineStr">
        <is>
          <t>HC</t>
        </is>
      </c>
      <c r="F47" s="112" t="inlineStr">
        <is>
          <t>Email from CM to cxl referral</t>
        </is>
      </c>
    </row>
    <row r="48">
      <c r="A48" s="110" t="inlineStr">
        <is>
          <t>Chris</t>
        </is>
      </c>
      <c r="B48" s="111" t="n">
        <v>45870</v>
      </c>
      <c r="C48" s="110" t="inlineStr">
        <is>
          <t>Suad Edais</t>
        </is>
      </c>
      <c r="D48" s="110" t="inlineStr">
        <is>
          <t>Ceased Services</t>
        </is>
      </c>
      <c r="E48" s="110" t="inlineStr">
        <is>
          <t>TAC</t>
        </is>
      </c>
      <c r="F48" s="112" t="inlineStr">
        <is>
          <t>No longer approved</t>
        </is>
      </c>
    </row>
    <row r="49">
      <c r="A49" s="110" t="inlineStr">
        <is>
          <t>Chris</t>
        </is>
      </c>
      <c r="B49" s="111" t="n">
        <v>45870</v>
      </c>
      <c r="C49" s="110" t="inlineStr">
        <is>
          <t>Dimitri Theodorou</t>
        </is>
      </c>
      <c r="D49" s="110" t="inlineStr">
        <is>
          <t>Ceased Services</t>
        </is>
      </c>
      <c r="E49" s="110" t="inlineStr">
        <is>
          <t>HC</t>
        </is>
      </c>
      <c r="F49" s="115" t="inlineStr">
        <is>
          <t>Too expensive for his HC budget</t>
        </is>
      </c>
    </row>
    <row r="50" ht="30" customHeight="1">
      <c r="A50" s="110" t="inlineStr">
        <is>
          <t>Stephen</t>
        </is>
      </c>
      <c r="B50" s="111" t="n">
        <v>45870</v>
      </c>
      <c r="C50" s="110" t="inlineStr">
        <is>
          <t>Natalie Israel</t>
        </is>
      </c>
      <c r="D50" s="110" t="inlineStr">
        <is>
          <t>On Hold</t>
        </is>
      </c>
      <c r="E50" s="110" t="n"/>
      <c r="F50" s="112" t="inlineStr">
        <is>
          <t>only 5 hrs allocated for physio in new plan
SC Bec said to complete 1 session then put on hold until further notice</t>
        </is>
      </c>
    </row>
    <row r="51">
      <c r="A51" s="110" t="inlineStr">
        <is>
          <t>Janice</t>
        </is>
      </c>
      <c r="B51" s="111" t="n">
        <v>45870</v>
      </c>
      <c r="C51" s="110" t="inlineStr">
        <is>
          <t>Penelope Kalos</t>
        </is>
      </c>
      <c r="D51" s="110" t="inlineStr">
        <is>
          <t>On Hold</t>
        </is>
      </c>
      <c r="E51" s="110" t="n"/>
      <c r="F51" s="115" t="inlineStr">
        <is>
          <t>going away for a few months from 23 aug</t>
        </is>
      </c>
    </row>
    <row r="52" ht="30" customHeight="1">
      <c r="A52" s="110" t="inlineStr">
        <is>
          <t>Eva</t>
        </is>
      </c>
      <c r="B52" s="111" t="n">
        <v>45870</v>
      </c>
      <c r="C52" s="110" t="inlineStr">
        <is>
          <t>Jeffry Babb</t>
        </is>
      </c>
      <c r="D52" s="110" t="inlineStr">
        <is>
          <t>On Hold</t>
        </is>
      </c>
      <c r="E52" s="110" t="n"/>
      <c r="F52" s="115" t="inlineStr">
        <is>
          <t>Unfortunately, there has been a recent turn in Jeffry’s health. As a result, we kindly request that his physiotherapy sessions be cancelled until further notice.</t>
        </is>
      </c>
    </row>
    <row r="53">
      <c r="A53" s="110" t="inlineStr">
        <is>
          <t>Stephanie</t>
        </is>
      </c>
      <c r="B53" s="111" t="n">
        <v>45870</v>
      </c>
      <c r="C53" s="110" t="inlineStr">
        <is>
          <t>Lucas Jackson</t>
        </is>
      </c>
      <c r="D53" s="110" t="inlineStr">
        <is>
          <t>On Hold</t>
        </is>
      </c>
      <c r="E53" s="110" t="n"/>
      <c r="F53" s="112" t="inlineStr">
        <is>
          <t>Low funding</t>
        </is>
      </c>
    </row>
    <row r="54">
      <c r="A54" s="110" t="inlineStr">
        <is>
          <t>Eva</t>
        </is>
      </c>
      <c r="B54" s="111" t="n">
        <v>45870</v>
      </c>
      <c r="C54" s="110" t="inlineStr">
        <is>
          <t>Maria Atsaves</t>
        </is>
      </c>
      <c r="D54" s="110" t="inlineStr">
        <is>
          <t>Ceased Services</t>
        </is>
      </c>
      <c r="E54" s="110" t="inlineStr">
        <is>
          <t>HC</t>
        </is>
      </c>
      <c r="F54" s="112" t="inlineStr">
        <is>
          <t>Maria is now having different treatment from a myotherapist which seems to be helping her significantly.</t>
        </is>
      </c>
    </row>
    <row r="55" ht="30" customHeight="1">
      <c r="A55" s="110" t="inlineStr">
        <is>
          <t>Eva</t>
        </is>
      </c>
      <c r="B55" s="111" t="n">
        <v>45870</v>
      </c>
      <c r="C55" s="110" t="inlineStr">
        <is>
          <t>Donna Higham</t>
        </is>
      </c>
      <c r="D55" s="110" t="inlineStr">
        <is>
          <t>Ceased Services</t>
        </is>
      </c>
      <c r="E55" s="110" t="inlineStr">
        <is>
          <t>Private</t>
        </is>
      </c>
      <c r="F55" s="112" t="inlineStr">
        <is>
          <t xml:space="preserve">No physio sessions since Feb 2025 - she had originally booked a physio appt but when physio attended she declined and mentioned she made a mistake she doesn't want physio </t>
        </is>
      </c>
    </row>
    <row r="56">
      <c r="A56" s="110" t="inlineStr">
        <is>
          <t>Eva</t>
        </is>
      </c>
      <c r="B56" s="111" t="n">
        <v>45870</v>
      </c>
      <c r="C56" s="110" t="inlineStr">
        <is>
          <t>Hari Singh</t>
        </is>
      </c>
      <c r="D56" s="110" t="inlineStr">
        <is>
          <t>Ceased Services</t>
        </is>
      </c>
      <c r="E56" s="110" t="inlineStr">
        <is>
          <t>HC</t>
        </is>
      </c>
      <c r="F56" s="113" t="inlineStr">
        <is>
          <t>doesnt wish to continue as he says he doesn’t need it</t>
        </is>
      </c>
    </row>
    <row r="57">
      <c r="A57" s="110" t="inlineStr">
        <is>
          <t>Felina</t>
        </is>
      </c>
      <c r="B57" s="111" t="n">
        <v>45870</v>
      </c>
      <c r="C57" s="110" t="inlineStr">
        <is>
          <t>Valerie Wylie</t>
        </is>
      </c>
      <c r="D57" s="110" t="inlineStr">
        <is>
          <t>Ceased Services</t>
        </is>
      </c>
      <c r="E57" s="110" t="inlineStr">
        <is>
          <t>HC</t>
        </is>
      </c>
      <c r="F57" s="115" t="inlineStr">
        <is>
          <t>CM request to cancel services</t>
        </is>
      </c>
    </row>
    <row r="58">
      <c r="A58" s="110" t="inlineStr">
        <is>
          <t>Felina</t>
        </is>
      </c>
      <c r="B58" s="111" t="n">
        <v>45870</v>
      </c>
      <c r="C58" s="110" t="inlineStr">
        <is>
          <t>Ioanna Tsadilas</t>
        </is>
      </c>
      <c r="D58" s="110" t="inlineStr">
        <is>
          <t>Ceased Services</t>
        </is>
      </c>
      <c r="E58" s="110" t="inlineStr">
        <is>
          <t>NDIS</t>
        </is>
      </c>
      <c r="F58" s="112" t="inlineStr">
        <is>
          <t>SC: I have just been instructed to cancel all Physio sessions for Ioanna moving forward. no feedback provided</t>
        </is>
      </c>
    </row>
    <row r="59">
      <c r="A59" s="110" t="inlineStr">
        <is>
          <t>Felina</t>
        </is>
      </c>
      <c r="B59" s="111" t="n">
        <v>45870</v>
      </c>
      <c r="C59" s="110" t="inlineStr">
        <is>
          <t>Bruno De Machelis</t>
        </is>
      </c>
      <c r="D59" s="110" t="inlineStr">
        <is>
          <t>Ceased Services</t>
        </is>
      </c>
      <c r="E59" s="110" t="inlineStr">
        <is>
          <t>Private</t>
        </is>
      </c>
      <c r="F59" s="112" t="inlineStr">
        <is>
          <t>No longer required, goals met</t>
        </is>
      </c>
    </row>
    <row r="60" ht="45" customHeight="1">
      <c r="A60" s="110" t="inlineStr">
        <is>
          <t>Felina</t>
        </is>
      </c>
      <c r="B60" s="111" t="n">
        <v>45870</v>
      </c>
      <c r="C60" s="110" t="inlineStr">
        <is>
          <t>June McCahill</t>
        </is>
      </c>
      <c r="D60" s="110" t="inlineStr">
        <is>
          <t>Ceased Services</t>
        </is>
      </c>
      <c r="E60" s="110" t="inlineStr">
        <is>
          <t>Private</t>
        </is>
      </c>
      <c r="F60" s="112" t="inlineStr">
        <is>
          <t>23/4/25 SD - On hold - Going with My Aged Care provider, will resume with us if unhappy - want to book with Felina if rebooking
27/8/25 SD - Offboarded - No response when following up resuming</t>
        </is>
      </c>
    </row>
    <row r="61">
      <c r="A61" s="110" t="inlineStr">
        <is>
          <t>Jay</t>
        </is>
      </c>
      <c r="B61" s="111" t="n">
        <v>45870</v>
      </c>
      <c r="C61" s="110" t="inlineStr">
        <is>
          <t>Trajan Talevski</t>
        </is>
      </c>
      <c r="D61" s="110" t="inlineStr">
        <is>
          <t>Ceased Services</t>
        </is>
      </c>
      <c r="E61" s="110" t="inlineStr">
        <is>
          <t>HC</t>
        </is>
      </c>
      <c r="F61" s="115" t="inlineStr">
        <is>
          <t>email from CM: Trajan no longer requires this service and is asking to cancel all of the upcoming appointments.</t>
        </is>
      </c>
    </row>
    <row r="62" ht="30" customHeight="1">
      <c r="A62" s="110" t="inlineStr">
        <is>
          <t>Jay</t>
        </is>
      </c>
      <c r="B62" s="111" t="n">
        <v>45870</v>
      </c>
      <c r="C62" s="110" t="inlineStr">
        <is>
          <t>Margaret Sinclair</t>
        </is>
      </c>
      <c r="D62" s="110" t="inlineStr">
        <is>
          <t>Ceased Services</t>
        </is>
      </c>
      <c r="E62" s="110" t="inlineStr">
        <is>
          <t>HC</t>
        </is>
      </c>
      <c r="F62" s="115" t="inlineStr">
        <is>
          <t>canceled as she said the physio doesn’t attend, however we don’t attend as we’re not able to get a hold of her to confirm the appts</t>
        </is>
      </c>
    </row>
    <row r="63">
      <c r="A63" s="110" t="inlineStr">
        <is>
          <t>Jay</t>
        </is>
      </c>
      <c r="B63" s="111" t="n">
        <v>45870</v>
      </c>
      <c r="C63" s="110" t="inlineStr">
        <is>
          <t>Annabell Johnson</t>
        </is>
      </c>
      <c r="D63" s="110" t="inlineStr">
        <is>
          <t>Ceased Services</t>
        </is>
      </c>
      <c r="E63" s="110" t="inlineStr">
        <is>
          <t>NDIS</t>
        </is>
      </c>
      <c r="F63" s="115" t="inlineStr">
        <is>
          <t>no appts booked, mum isn’t replying to our calls and emails</t>
        </is>
      </c>
    </row>
    <row r="64">
      <c r="A64" s="110" t="inlineStr">
        <is>
          <t>Jay</t>
        </is>
      </c>
      <c r="B64" s="111" t="n">
        <v>45870</v>
      </c>
      <c r="C64" s="110" t="inlineStr">
        <is>
          <t>Sadie Johnson</t>
        </is>
      </c>
      <c r="D64" s="110" t="inlineStr">
        <is>
          <t>Ceased Services</t>
        </is>
      </c>
      <c r="E64" s="110" t="inlineStr">
        <is>
          <t>NDIS</t>
        </is>
      </c>
      <c r="F64" s="115" t="inlineStr">
        <is>
          <t>no appts booked, mum isn’t replying to our calls and emails</t>
        </is>
      </c>
    </row>
    <row r="65">
      <c r="A65" s="110" t="inlineStr">
        <is>
          <t>Jay</t>
        </is>
      </c>
      <c r="B65" s="111" t="n">
        <v>45870</v>
      </c>
      <c r="C65" s="110" t="inlineStr">
        <is>
          <t>Amineh Neissi</t>
        </is>
      </c>
      <c r="D65" s="110" t="inlineStr">
        <is>
          <t>Ceased Services</t>
        </is>
      </c>
      <c r="E65" s="110" t="inlineStr">
        <is>
          <t>NDIS</t>
        </is>
      </c>
      <c r="F65" s="112" t="inlineStr">
        <is>
          <t>OOF</t>
        </is>
      </c>
    </row>
    <row r="66">
      <c r="A66" s="110" t="inlineStr">
        <is>
          <t>Jay</t>
        </is>
      </c>
      <c r="B66" s="111" t="n">
        <v>45870</v>
      </c>
      <c r="C66" s="110" t="inlineStr">
        <is>
          <t>Efmorfia Katanos</t>
        </is>
      </c>
      <c r="D66" s="110" t="inlineStr">
        <is>
          <t>Ceased Services</t>
        </is>
      </c>
      <c r="E66" s="110" t="inlineStr">
        <is>
          <t>HC</t>
        </is>
      </c>
      <c r="F66" s="115" t="inlineStr">
        <is>
          <t>never received approval to book on going and this HCP have cancelled all clients with us</t>
        </is>
      </c>
    </row>
    <row r="67">
      <c r="A67" s="110" t="inlineStr">
        <is>
          <t>Eva</t>
        </is>
      </c>
      <c r="B67" s="111" t="n">
        <v>45870</v>
      </c>
      <c r="C67" s="113" t="inlineStr">
        <is>
          <t>Marilyn Lorraine Cuttriss Mealy</t>
        </is>
      </c>
      <c r="D67" s="110" t="inlineStr">
        <is>
          <t>On Hold</t>
        </is>
      </c>
      <c r="E67" s="110" t="n"/>
      <c r="F67" s="112" t="inlineStr">
        <is>
          <t>used up EPC, daughter happy with progress and said that she'll get back to us if she needs more support</t>
        </is>
      </c>
    </row>
    <row r="68">
      <c r="A68" s="110" t="inlineStr">
        <is>
          <t>Eva</t>
        </is>
      </c>
      <c r="B68" s="111" t="n">
        <v>45870</v>
      </c>
      <c r="C68" s="110" t="inlineStr">
        <is>
          <t>Jason Giddings</t>
        </is>
      </c>
      <c r="D68" s="110" t="inlineStr">
        <is>
          <t>On Hold</t>
        </is>
      </c>
      <c r="E68" s="110" t="n"/>
      <c r="F68" s="115" t="inlineStr">
        <is>
          <t>waiting for foot ucler to heal</t>
        </is>
      </c>
    </row>
    <row r="69">
      <c r="A69" s="110" t="inlineStr">
        <is>
          <t>Eva</t>
        </is>
      </c>
      <c r="B69" s="111" t="n">
        <v>45870</v>
      </c>
      <c r="C69" s="110" t="inlineStr">
        <is>
          <t>Maria Wataszczuk</t>
        </is>
      </c>
      <c r="D69" s="110" t="inlineStr">
        <is>
          <t>On Hold</t>
        </is>
      </c>
      <c r="E69" s="110" t="n"/>
      <c r="F69" s="115" t="inlineStr">
        <is>
          <t>doesn’t want to do hydro during colder months</t>
        </is>
      </c>
    </row>
    <row r="70">
      <c r="A70" s="110" t="inlineStr">
        <is>
          <t>Simran</t>
        </is>
      </c>
      <c r="B70" s="111" t="n">
        <v>45870</v>
      </c>
      <c r="C70" s="110" t="inlineStr">
        <is>
          <t>Feriha Emirali</t>
        </is>
      </c>
      <c r="D70" s="110" t="inlineStr">
        <is>
          <t>On Hold</t>
        </is>
      </c>
      <c r="E70" s="110" t="n"/>
      <c r="F70" s="112" t="inlineStr">
        <is>
          <t>In respite from 12/8/25</t>
        </is>
      </c>
    </row>
    <row r="71" ht="30" customHeight="1">
      <c r="A71" s="110" t="inlineStr">
        <is>
          <t>Raj</t>
        </is>
      </c>
      <c r="B71" s="111" t="n">
        <v>45870</v>
      </c>
      <c r="C71" s="110" t="inlineStr">
        <is>
          <t>Cheryl Rodrigo</t>
        </is>
      </c>
      <c r="D71" s="110" t="inlineStr">
        <is>
          <t>Ceased Services</t>
        </is>
      </c>
      <c r="E71" s="110" t="inlineStr">
        <is>
          <t>NDIS</t>
        </is>
      </c>
      <c r="F71" s="115" t="inlineStr">
        <is>
          <t>I have spoken with Alston he has advised he is going to have Cheryl attend a physio clinic instead of home visits for Cheryl now</t>
        </is>
      </c>
    </row>
    <row r="72">
      <c r="A72" s="110" t="inlineStr">
        <is>
          <t>Raj</t>
        </is>
      </c>
      <c r="B72" s="111" t="n">
        <v>45870</v>
      </c>
      <c r="C72" s="110" t="inlineStr">
        <is>
          <t>Alston Rodrigo</t>
        </is>
      </c>
      <c r="D72" s="110" t="inlineStr">
        <is>
          <t>Ceased Services</t>
        </is>
      </c>
      <c r="E72" s="110" t="inlineStr">
        <is>
          <t>Private</t>
        </is>
      </c>
      <c r="F72" s="112" t="inlineStr">
        <is>
          <t>Services no longer required</t>
        </is>
      </c>
    </row>
    <row r="73">
      <c r="A73" s="110" t="inlineStr">
        <is>
          <t>Shirley</t>
        </is>
      </c>
      <c r="B73" s="111" t="n">
        <v>45870</v>
      </c>
      <c r="C73" s="110" t="inlineStr">
        <is>
          <t>Jill Jackson</t>
        </is>
      </c>
      <c r="D73" s="110" t="inlineStr">
        <is>
          <t>Ceased Services</t>
        </is>
      </c>
      <c r="E73" s="110" t="inlineStr">
        <is>
          <t>Private</t>
        </is>
      </c>
      <c r="F73" s="112" t="inlineStr">
        <is>
          <t>feeling confident to do daily exercises on her own. Very grateful for the team and thankful of the team</t>
        </is>
      </c>
    </row>
    <row r="74" ht="45" customHeight="1">
      <c r="A74" s="110" t="inlineStr">
        <is>
          <t>Felina</t>
        </is>
      </c>
      <c r="B74" s="111" t="n">
        <v>45870</v>
      </c>
      <c r="C74" s="110" t="inlineStr">
        <is>
          <t>Christine Rubens</t>
        </is>
      </c>
      <c r="D74" s="110" t="inlineStr">
        <is>
          <t>On Hold</t>
        </is>
      </c>
      <c r="E74" s="110" t="n"/>
      <c r="F74" s="112" t="inlineStr">
        <is>
          <t>Her T12 fracture I think needs repairing before she can proceed.. I have been in touch with a surgeon about doing a kyphoplasty,  a procedure she had done very successfully in 2021 on her T6. Services on hold until after the procedure.</t>
        </is>
      </c>
    </row>
    <row r="75">
      <c r="A75" s="110" t="inlineStr">
        <is>
          <t>Shirley</t>
        </is>
      </c>
      <c r="B75" s="111" t="n">
        <v>45870</v>
      </c>
      <c r="C75" s="110" t="inlineStr">
        <is>
          <t>Nicki Iliadis</t>
        </is>
      </c>
      <c r="D75" s="110" t="inlineStr">
        <is>
          <t>Ceased Services</t>
        </is>
      </c>
      <c r="E75" s="110" t="inlineStr">
        <is>
          <t>HC</t>
        </is>
      </c>
      <c r="F75" s="115" t="inlineStr">
        <is>
          <t>felt sore after her massage sessions and doesn’t want massage</t>
        </is>
      </c>
    </row>
    <row r="76">
      <c r="A76" s="110" t="inlineStr">
        <is>
          <t>Simran</t>
        </is>
      </c>
      <c r="B76" s="111" t="n">
        <v>45870</v>
      </c>
      <c r="C76" s="110" t="inlineStr">
        <is>
          <t>Rohini Nath</t>
        </is>
      </c>
      <c r="D76" s="110" t="inlineStr">
        <is>
          <t>Ceased Services</t>
        </is>
      </c>
      <c r="E76" s="110" t="inlineStr">
        <is>
          <t>NDIS</t>
        </is>
      </c>
      <c r="F76" s="115" t="inlineStr">
        <is>
          <t>SC called to let us know they weren’t happy with the service and going with someone else</t>
        </is>
      </c>
    </row>
    <row r="77">
      <c r="A77" s="110" t="inlineStr">
        <is>
          <t>Alice</t>
        </is>
      </c>
      <c r="B77" s="111" t="n">
        <v>45870</v>
      </c>
      <c r="C77" s="110" t="inlineStr">
        <is>
          <t>Robyn Baker</t>
        </is>
      </c>
      <c r="D77" s="110" t="inlineStr">
        <is>
          <t>On Hold</t>
        </is>
      </c>
      <c r="E77" s="110" t="n"/>
      <c r="F77" s="115" t="inlineStr">
        <is>
          <t>asked to go on hold while she sorts out her funding. Said she will give us call when she is ready to resume</t>
        </is>
      </c>
    </row>
    <row r="78">
      <c r="A78" s="110" t="inlineStr">
        <is>
          <t>April</t>
        </is>
      </c>
      <c r="B78" s="111" t="n">
        <v>45870</v>
      </c>
      <c r="C78" s="110" t="inlineStr">
        <is>
          <t>Assunta Tardio</t>
        </is>
      </c>
      <c r="D78" s="110" t="inlineStr">
        <is>
          <t>On Hold</t>
        </is>
      </c>
      <c r="E78" s="110" t="n"/>
      <c r="F78" s="115" t="inlineStr">
        <is>
          <t>in hospital and needing to go on hold please. Her daughter will contact us when she's out and ready to resume</t>
        </is>
      </c>
    </row>
    <row r="79">
      <c r="A79" s="110" t="inlineStr">
        <is>
          <t>Chris</t>
        </is>
      </c>
      <c r="B79" s="111" t="n">
        <v>45870</v>
      </c>
      <c r="C79" s="110" t="inlineStr">
        <is>
          <t>Colin Cook</t>
        </is>
      </c>
      <c r="D79" s="110" t="inlineStr">
        <is>
          <t>On Hold</t>
        </is>
      </c>
      <c r="E79" s="110" t="n"/>
      <c r="F79" s="115" t="inlineStr">
        <is>
          <t>unwell at the moment to be considered for ongoing sessions</t>
        </is>
      </c>
    </row>
    <row r="80">
      <c r="A80" s="110" t="inlineStr">
        <is>
          <t>Simran</t>
        </is>
      </c>
      <c r="B80" s="111" t="n">
        <v>45870</v>
      </c>
      <c r="C80" s="110" t="inlineStr">
        <is>
          <t>Karen Davenport</t>
        </is>
      </c>
      <c r="D80" s="110" t="inlineStr">
        <is>
          <t>Ceased Services</t>
        </is>
      </c>
      <c r="E80" s="110" t="inlineStr">
        <is>
          <t>NDIS</t>
        </is>
      </c>
      <c r="F80" s="115" t="inlineStr">
        <is>
          <t>no appts booked as not hearing about from SC. A while ago mentioned no hours remaining</t>
        </is>
      </c>
    </row>
    <row r="81">
      <c r="A81" s="110" t="inlineStr">
        <is>
          <t>Stephanie</t>
        </is>
      </c>
      <c r="B81" s="111" t="n">
        <v>45870</v>
      </c>
      <c r="C81" s="110" t="inlineStr">
        <is>
          <t>Peter Groves</t>
        </is>
      </c>
      <c r="D81" s="110" t="inlineStr">
        <is>
          <t>Ceased Services</t>
        </is>
      </c>
      <c r="E81" s="110" t="inlineStr">
        <is>
          <t>Private</t>
        </is>
      </c>
      <c r="F81" s="112" t="inlineStr">
        <is>
          <t>one-time private client</t>
        </is>
      </c>
    </row>
    <row r="82" ht="30" customHeight="1">
      <c r="A82" s="110" t="inlineStr">
        <is>
          <t>Stephen</t>
        </is>
      </c>
      <c r="B82" s="111" t="n">
        <v>45870</v>
      </c>
      <c r="C82" s="110" t="inlineStr">
        <is>
          <t>Edward Mogilevsky</t>
        </is>
      </c>
      <c r="D82" s="110" t="inlineStr">
        <is>
          <t>On Hold</t>
        </is>
      </c>
      <c r="E82" s="110" t="n"/>
      <c r="F82" s="115" t="inlineStr">
        <is>
          <t>just wanted to remind that we stop physio for for some time. We let you know date when we're ready for physio Thank you very much for assistance Kind regards Alla</t>
        </is>
      </c>
    </row>
    <row r="83" ht="30" customHeight="1">
      <c r="A83" s="110" t="inlineStr">
        <is>
          <t>Simran</t>
        </is>
      </c>
      <c r="B83" s="111" t="n">
        <v>45870</v>
      </c>
      <c r="C83" s="110" t="inlineStr">
        <is>
          <t>Elenora Mare</t>
        </is>
      </c>
      <c r="D83" s="110" t="inlineStr">
        <is>
          <t>On Hold</t>
        </is>
      </c>
      <c r="E83" s="110" t="n"/>
      <c r="F83" s="112" t="inlineStr">
        <is>
          <t>Too much happening with mum and tues appts not working out.
offered to move appts to other days, but still answered no</t>
        </is>
      </c>
    </row>
    <row r="84">
      <c r="A84" s="110" t="inlineStr">
        <is>
          <t>Stephen</t>
        </is>
      </c>
      <c r="B84" s="111" t="n">
        <v>45870</v>
      </c>
      <c r="C84" s="110" t="inlineStr">
        <is>
          <t>Polly Kamberos</t>
        </is>
      </c>
      <c r="D84" s="110" t="inlineStr">
        <is>
          <t>Ceased Services</t>
        </is>
      </c>
      <c r="E84" s="110" t="inlineStr">
        <is>
          <t>HC</t>
        </is>
      </c>
      <c r="F84" s="115" t="inlineStr">
        <is>
          <t>CM emailed - Polly likely too unwell for physio</t>
        </is>
      </c>
    </row>
    <row r="85">
      <c r="A85" s="110" t="inlineStr">
        <is>
          <t>Vincent</t>
        </is>
      </c>
      <c r="B85" s="111" t="n">
        <v>45870</v>
      </c>
      <c r="C85" s="110" t="inlineStr">
        <is>
          <t>Tony Greco</t>
        </is>
      </c>
      <c r="D85" s="110" t="inlineStr">
        <is>
          <t>Ceased Services</t>
        </is>
      </c>
      <c r="E85" s="110" t="inlineStr">
        <is>
          <t>HC</t>
        </is>
      </c>
      <c r="F85" s="115" t="inlineStr">
        <is>
          <t>walker recommendation completed - no further services required</t>
        </is>
      </c>
    </row>
    <row r="86" ht="30" customHeight="1">
      <c r="A86" s="110" t="inlineStr">
        <is>
          <t>Vincent</t>
        </is>
      </c>
      <c r="B86" s="111" t="n">
        <v>45870</v>
      </c>
      <c r="C86" s="110" t="inlineStr">
        <is>
          <t>Jennifer Hartney</t>
        </is>
      </c>
      <c r="D86" s="110" t="inlineStr">
        <is>
          <t>Ceased Services</t>
        </is>
      </c>
      <c r="E86" s="110" t="inlineStr">
        <is>
          <t>Private</t>
        </is>
      </c>
      <c r="F86" s="115" t="inlineStr">
        <is>
          <t>private client was in alot of pain. Called the next day to say how amazing Vincent is and to let us know that he has magically healed her. no further services required</t>
        </is>
      </c>
    </row>
    <row r="87">
      <c r="A87" s="110" t="inlineStr">
        <is>
          <t>Simran</t>
        </is>
      </c>
      <c r="B87" s="111" t="n">
        <v>45870</v>
      </c>
      <c r="C87" s="110" t="inlineStr">
        <is>
          <t>Maria Pietrobuono</t>
        </is>
      </c>
      <c r="D87" s="110" t="inlineStr">
        <is>
          <t>On Hold</t>
        </is>
      </c>
      <c r="E87" s="110" t="n"/>
      <c r="F87" s="112" t="inlineStr">
        <is>
          <t>She is over the budget and cannot afford until we get the upgrade of the package.</t>
        </is>
      </c>
    </row>
    <row r="88">
      <c r="A88" s="110" t="inlineStr">
        <is>
          <t>Vincent</t>
        </is>
      </c>
      <c r="B88" s="111" t="n">
        <v>45870</v>
      </c>
      <c r="C88" s="110" t="inlineStr">
        <is>
          <t>Gary Webber</t>
        </is>
      </c>
      <c r="D88" s="110" t="inlineStr">
        <is>
          <t>Ceased Services</t>
        </is>
      </c>
      <c r="E88" s="110" t="inlineStr">
        <is>
          <t>HC</t>
        </is>
      </c>
      <c r="F88" s="112" t="inlineStr">
        <is>
          <t>OOF</t>
        </is>
      </c>
    </row>
    <row r="89">
      <c r="A89" s="110" t="inlineStr">
        <is>
          <t>Shirley</t>
        </is>
      </c>
      <c r="B89" s="111" t="n">
        <v>45870</v>
      </c>
      <c r="C89" s="110" t="inlineStr">
        <is>
          <t>Wendy Bee</t>
        </is>
      </c>
      <c r="D89" s="110" t="inlineStr">
        <is>
          <t>On Hold</t>
        </is>
      </c>
      <c r="E89" s="110" t="n"/>
      <c r="F89" s="113" t="inlineStr">
        <is>
          <t>going into hospital with unknown discharge at this stage.</t>
        </is>
      </c>
    </row>
    <row r="90" ht="75" customHeight="1">
      <c r="A90" s="110" t="inlineStr">
        <is>
          <t>Stephanie</t>
        </is>
      </c>
      <c r="B90" s="111" t="n">
        <v>45870</v>
      </c>
      <c r="C90" s="110" t="inlineStr">
        <is>
          <t>Helen Flanigan</t>
        </is>
      </c>
      <c r="D90" s="110" t="inlineStr">
        <is>
          <t>On Hold</t>
        </is>
      </c>
      <c r="E90" s="110" t="n"/>
      <c r="F90" s="112" t="inlineStr">
        <is>
          <t>Helen's family still really want Helen to do physio however Helen is very resistant. Johanna mentioned that Helen's decline in cognition is making her very resistive to alot of things and not just Stephanie and physio and Helens memory for appointments and other things are declining. She would really appreciate if we contacted Helens daughter in a few weeks time to see if she is ready to resume and discuss if they would like to keep with Steph or try another therapist when she is ready to return.</t>
        </is>
      </c>
    </row>
    <row r="91">
      <c r="A91" s="110" t="inlineStr">
        <is>
          <t>Janice</t>
        </is>
      </c>
      <c r="B91" s="111" t="n">
        <v>45870</v>
      </c>
      <c r="C91" s="110" t="inlineStr">
        <is>
          <t>Van Yen Nguyen</t>
        </is>
      </c>
      <c r="D91" s="110" t="inlineStr">
        <is>
          <t>On Hold</t>
        </is>
      </c>
      <c r="E91" s="110" t="n"/>
      <c r="F91" s="113" t="inlineStr">
        <is>
          <t>He’s just wanting to go away and visit family for a few weeks since he’s feeling so well again.</t>
        </is>
      </c>
    </row>
    <row r="92" ht="30" customHeight="1">
      <c r="A92" s="110" t="inlineStr">
        <is>
          <t>Vincent</t>
        </is>
      </c>
      <c r="B92" s="111" t="n">
        <v>45870</v>
      </c>
      <c r="C92" s="110" t="inlineStr">
        <is>
          <t>Laurence Muscat</t>
        </is>
      </c>
      <c r="D92" s="110" t="inlineStr">
        <is>
          <t>Ceased Services</t>
        </is>
      </c>
      <c r="E92" s="110" t="inlineStr">
        <is>
          <t>HC</t>
        </is>
      </c>
      <c r="F92" s="112" t="inlineStr">
        <is>
          <t>CM: Please be advised that my above client will be cancelling all future appointments until further notice.
TP requested feedback</t>
        </is>
      </c>
    </row>
    <row r="93">
      <c r="A93" s="110" t="inlineStr">
        <is>
          <t>Raj</t>
        </is>
      </c>
      <c r="B93" s="111" t="n">
        <v>45870</v>
      </c>
      <c r="C93" s="110" t="inlineStr">
        <is>
          <t>Wilvamalar Rasaratnam</t>
        </is>
      </c>
      <c r="D93" s="110" t="inlineStr">
        <is>
          <t>On Hold</t>
        </is>
      </c>
      <c r="E93" s="110" t="n"/>
      <c r="F93" s="113" t="inlineStr">
        <is>
          <t>family visiting from overseas and asked us to check in with her in October</t>
        </is>
      </c>
    </row>
    <row r="94">
      <c r="A94" s="110" t="inlineStr">
        <is>
          <t>Danny</t>
        </is>
      </c>
      <c r="B94" s="111" t="n">
        <v>45870</v>
      </c>
      <c r="C94" s="110" t="inlineStr">
        <is>
          <t>Effat Namazi</t>
        </is>
      </c>
      <c r="D94" s="110" t="inlineStr">
        <is>
          <t>On Hold</t>
        </is>
      </c>
      <c r="E94" s="110" t="n"/>
      <c r="F94" s="112" t="inlineStr">
        <is>
          <t>Trying a new Persian speaking physio and will call us later to book with Danny if needed</t>
        </is>
      </c>
    </row>
    <row r="95">
      <c r="A95" s="110" t="inlineStr">
        <is>
          <t>Alice</t>
        </is>
      </c>
      <c r="B95" s="111" t="n">
        <v>45901</v>
      </c>
      <c r="C95" s="110" t="inlineStr">
        <is>
          <t>Patricia Zougaib</t>
        </is>
      </c>
      <c r="D95" s="110" t="inlineStr">
        <is>
          <t>On Hold</t>
        </is>
      </c>
      <c r="E95" s="110" t="inlineStr">
        <is>
          <t>NDIS</t>
        </is>
      </c>
      <c r="F95" s="113" t="inlineStr">
        <is>
          <t>using remaining hours for end of plan report</t>
        </is>
      </c>
    </row>
    <row r="96" ht="30" customHeight="1">
      <c r="A96" s="110" t="inlineStr">
        <is>
          <t>Alice</t>
        </is>
      </c>
      <c r="B96" s="111" t="n">
        <v>45901</v>
      </c>
      <c r="C96" s="110" t="inlineStr">
        <is>
          <t>Michael Grech</t>
        </is>
      </c>
      <c r="D96" s="110" t="inlineStr">
        <is>
          <t>Ceased Services</t>
        </is>
      </c>
      <c r="E96" s="110" t="inlineStr">
        <is>
          <t>NDIS</t>
        </is>
      </c>
      <c r="F96" s="112" t="inlineStr">
        <is>
          <t>8/1 In hospital and no funds until new plan (12/9/25)
17/9 change to cease now as he doesnt want to reengage</t>
        </is>
      </c>
    </row>
    <row r="97">
      <c r="A97" s="110" t="inlineStr">
        <is>
          <t>Alice</t>
        </is>
      </c>
      <c r="B97" s="111" t="n">
        <v>45901</v>
      </c>
      <c r="C97" s="110" t="inlineStr">
        <is>
          <t>Tesfay Seyoum</t>
        </is>
      </c>
      <c r="D97" s="110" t="inlineStr">
        <is>
          <t>On Hold</t>
        </is>
      </c>
      <c r="E97" s="110" t="inlineStr">
        <is>
          <t>NDIS</t>
        </is>
      </c>
      <c r="F97" s="112" t="inlineStr">
        <is>
          <t>Unwell</t>
        </is>
      </c>
    </row>
    <row r="98">
      <c r="A98" s="110" t="inlineStr">
        <is>
          <t>Amanda</t>
        </is>
      </c>
      <c r="B98" s="111" t="n">
        <v>45901</v>
      </c>
      <c r="C98" s="110" t="inlineStr">
        <is>
          <t>Mia Denton</t>
        </is>
      </c>
      <c r="D98" s="110" t="inlineStr">
        <is>
          <t>Ceased Services</t>
        </is>
      </c>
      <c r="E98" s="110" t="inlineStr">
        <is>
          <t>NDIS</t>
        </is>
      </c>
      <c r="F98" s="112" t="inlineStr">
        <is>
          <t>unfortunately Mia won’t require any further services at the moment.</t>
        </is>
      </c>
    </row>
    <row r="99">
      <c r="A99" s="110" t="inlineStr">
        <is>
          <t>April</t>
        </is>
      </c>
      <c r="B99" s="111" t="n">
        <v>45901</v>
      </c>
      <c r="C99" s="110" t="inlineStr">
        <is>
          <t>Annie Mitchell</t>
        </is>
      </c>
      <c r="D99" s="110" t="inlineStr">
        <is>
          <t>Ceased Services</t>
        </is>
      </c>
      <c r="E99" s="110" t="inlineStr">
        <is>
          <t>HC</t>
        </is>
      </c>
      <c r="F99" s="112" t="inlineStr">
        <is>
          <t>her son Errol has requested to cancel the Physiotherapy for the time being.,</t>
        </is>
      </c>
    </row>
    <row r="100">
      <c r="A100" s="110" t="inlineStr">
        <is>
          <t>April</t>
        </is>
      </c>
      <c r="B100" s="111" t="n">
        <v>45901</v>
      </c>
      <c r="C100" s="110" t="inlineStr">
        <is>
          <t>Margaret Cairns</t>
        </is>
      </c>
      <c r="D100" s="110" t="inlineStr">
        <is>
          <t>Ceased Services</t>
        </is>
      </c>
      <c r="E100" s="110" t="inlineStr">
        <is>
          <t>HC</t>
        </is>
      </c>
      <c r="F100" s="113" t="inlineStr">
        <is>
          <t>CM request: would like to cancel her physio services ongoing.</t>
        </is>
      </c>
    </row>
    <row r="101" ht="60" customHeight="1">
      <c r="A101" s="110" t="inlineStr">
        <is>
          <t>April</t>
        </is>
      </c>
      <c r="B101" s="111" t="n">
        <v>45901</v>
      </c>
      <c r="C101" s="110" t="inlineStr">
        <is>
          <t>Janet Johns</t>
        </is>
      </c>
      <c r="D101" s="110" t="inlineStr">
        <is>
          <t>Ceased Services</t>
        </is>
      </c>
      <c r="E101" s="110" t="inlineStr">
        <is>
          <t>HC</t>
        </is>
      </c>
      <c r="F101" s="112" t="inlineStr">
        <is>
          <t>4/6/25 SD - On hold - CM: We just feel at the moment that it is not doing anything for her, she really likes Felina but she whinges and asks for it to be cancelled every fortnight, she is just not in the right space.  Thanks to Felina for her effort.
22/9/25 SD - Offboarded - Physio no longer required</t>
        </is>
      </c>
    </row>
    <row r="102">
      <c r="A102" s="110" t="inlineStr">
        <is>
          <t>April</t>
        </is>
      </c>
      <c r="B102" s="111" t="n">
        <v>45901</v>
      </c>
      <c r="C102" s="110" t="inlineStr">
        <is>
          <t>Judith Brooks</t>
        </is>
      </c>
      <c r="D102" s="110" t="inlineStr">
        <is>
          <t>Ceased Services</t>
        </is>
      </c>
      <c r="E102" s="110" t="inlineStr">
        <is>
          <t>HC</t>
        </is>
      </c>
      <c r="F102" s="113" t="inlineStr">
        <is>
          <t>Judi has decided to not go ahead with the OT and would also like to cancel ongoing physio session please.</t>
        </is>
      </c>
    </row>
    <row r="103" ht="45" customHeight="1">
      <c r="A103" s="110" t="inlineStr">
        <is>
          <t>April</t>
        </is>
      </c>
      <c r="B103" s="111" t="n">
        <v>45901</v>
      </c>
      <c r="C103" s="110" t="inlineStr">
        <is>
          <t>Elisa Cretella</t>
        </is>
      </c>
      <c r="D103" s="110" t="inlineStr">
        <is>
          <t>On Hold</t>
        </is>
      </c>
      <c r="E103" s="110" t="inlineStr">
        <is>
          <t>HC</t>
        </is>
      </c>
      <c r="F103" s="115" t="inlineStr">
        <is>
          <t>23/9 From CM: Elisa Cretella's DTR yesterday to cancel the physio for her ongoing.  No issues at all, but she wants to have a break.  I don't think at this stage she will take it up again for a while, she is also prioritising family so is busy with family coming and going.</t>
        </is>
      </c>
    </row>
    <row r="104" ht="30" customHeight="1">
      <c r="A104" s="110" t="inlineStr">
        <is>
          <t>April</t>
        </is>
      </c>
      <c r="B104" s="111" t="n">
        <v>45901</v>
      </c>
      <c r="C104" s="110" t="inlineStr">
        <is>
          <t>Jeff Shaw</t>
        </is>
      </c>
      <c r="D104" s="110" t="inlineStr">
        <is>
          <t>Ceased Services</t>
        </is>
      </c>
      <c r="E104" s="110" t="inlineStr">
        <is>
          <t>HC</t>
        </is>
      </c>
      <c r="F104" s="115" t="inlineStr">
        <is>
          <t>text to cease services - From CM: He is going away for a few weeks so, I think it could be cancelled just until he gets back.  I will chase up when he returns.</t>
        </is>
      </c>
    </row>
    <row r="105" ht="30" customHeight="1">
      <c r="A105" s="110" t="inlineStr">
        <is>
          <t>April</t>
        </is>
      </c>
      <c r="B105" s="111" t="n">
        <v>45901</v>
      </c>
      <c r="C105" s="110" t="inlineStr">
        <is>
          <t>Shirley Leach</t>
        </is>
      </c>
      <c r="D105" s="110" t="inlineStr">
        <is>
          <t>Ceased Services</t>
        </is>
      </c>
      <c r="E105" s="110" t="inlineStr">
        <is>
          <t>HC</t>
        </is>
      </c>
      <c r="F105" s="115" t="inlineStr">
        <is>
          <t>From CM: I would like to request on her behalf that the monthly physiotherapy visit be cancelled please but she said she will call you directly when she needs to be seen if possible</t>
        </is>
      </c>
    </row>
    <row r="106" ht="105" customHeight="1">
      <c r="A106" s="110" t="inlineStr">
        <is>
          <t>Beth</t>
        </is>
      </c>
      <c r="B106" s="111" t="n">
        <v>45901</v>
      </c>
      <c r="C106" s="110" t="inlineStr">
        <is>
          <t>Nancy Venville</t>
        </is>
      </c>
      <c r="D106" s="110" t="inlineStr">
        <is>
          <t>Ceased Services</t>
        </is>
      </c>
      <c r="E106" s="110" t="inlineStr">
        <is>
          <t>HC</t>
        </is>
      </c>
      <c r="F106" s="112" t="inlineStr">
        <is>
          <t>16/05 email from CM:
Due to current budget constraints can we please suspend Nancy Venvilles physiotherapy with Beth until further notice.
15/9 TP emailed CM to check in - CM response: I did speak with her last week about the possibility of returning to physio, or even just a one off check in?
She mentioned that she feels it is not currently necessary, but she will keep it in mind and we will continue to check with her also.</t>
        </is>
      </c>
    </row>
    <row r="107" ht="30" customHeight="1">
      <c r="A107" s="110" t="inlineStr">
        <is>
          <t>Beth</t>
        </is>
      </c>
      <c r="B107" s="111" t="n">
        <v>45901</v>
      </c>
      <c r="C107" s="110" t="inlineStr">
        <is>
          <t>Carole Welsford</t>
        </is>
      </c>
      <c r="D107" s="110" t="inlineStr">
        <is>
          <t>On Hold</t>
        </is>
      </c>
      <c r="E107" s="110" t="inlineStr">
        <is>
          <t>HC</t>
        </is>
      </c>
      <c r="F107" s="115" t="inlineStr">
        <is>
          <t>Carole is in hospital after a fall, causing 6 broken ribs. At this stage, I've been asked by family to ask that you cancel arrangements with you until we contact you to reinstate your service for Carole</t>
        </is>
      </c>
    </row>
    <row r="108" ht="30" customHeight="1">
      <c r="A108" s="110" t="inlineStr">
        <is>
          <t>Chris</t>
        </is>
      </c>
      <c r="B108" s="111" t="n">
        <v>45901</v>
      </c>
      <c r="C108" s="110" t="inlineStr">
        <is>
          <t>Sheron Burnett</t>
        </is>
      </c>
      <c r="D108" s="110" t="inlineStr">
        <is>
          <t>Ceased Services</t>
        </is>
      </c>
      <c r="E108" s="110" t="inlineStr">
        <is>
          <t>HC</t>
        </is>
      </c>
      <c r="F108" s="115" t="inlineStr">
        <is>
          <t>We would like to inform you that our member, Sheron Burnett, will no longer require the recurring service for Physiotherapy (30 mins) - Twice Weekly</t>
        </is>
      </c>
    </row>
    <row r="109">
      <c r="A109" s="110" t="inlineStr">
        <is>
          <t>Danny</t>
        </is>
      </c>
      <c r="B109" s="111" t="n">
        <v>45901</v>
      </c>
      <c r="C109" s="110" t="inlineStr">
        <is>
          <t>Helen Aivaliotis</t>
        </is>
      </c>
      <c r="D109" s="110" t="inlineStr">
        <is>
          <t>On Hold</t>
        </is>
      </c>
      <c r="E109" s="110" t="inlineStr">
        <is>
          <t>HC</t>
        </is>
      </c>
      <c r="F109" s="113" t="inlineStr">
        <is>
          <t>CM emailed to go on hold due to low funding</t>
        </is>
      </c>
    </row>
    <row r="110">
      <c r="A110" s="110" t="inlineStr">
        <is>
          <t>Elizabeth</t>
        </is>
      </c>
      <c r="B110" s="111" t="n">
        <v>45901</v>
      </c>
      <c r="C110" s="110" t="inlineStr">
        <is>
          <t>Tina Ng</t>
        </is>
      </c>
      <c r="D110" s="110" t="inlineStr">
        <is>
          <t>On Hold</t>
        </is>
      </c>
      <c r="E110" s="110" t="n"/>
      <c r="F110" s="113" t="inlineStr">
        <is>
          <t>Called to advise would like to go on hold as she has had her baby.</t>
        </is>
      </c>
    </row>
    <row r="111">
      <c r="A111" s="110" t="inlineStr">
        <is>
          <t>Eva</t>
        </is>
      </c>
      <c r="B111" s="111" t="n">
        <v>45901</v>
      </c>
      <c r="C111" s="110" t="inlineStr">
        <is>
          <t>Doris Tabbaa</t>
        </is>
      </c>
      <c r="D111" s="110" t="inlineStr">
        <is>
          <t>Ceased Services</t>
        </is>
      </c>
      <c r="E111" s="110" t="inlineStr">
        <is>
          <t>NDIS</t>
        </is>
      </c>
      <c r="F111" s="113" t="inlineStr">
        <is>
          <t>didnt receive physio in her new plan</t>
        </is>
      </c>
    </row>
    <row r="112">
      <c r="A112" s="110" t="inlineStr">
        <is>
          <t>Eva</t>
        </is>
      </c>
      <c r="B112" s="111" t="n">
        <v>45901</v>
      </c>
      <c r="C112" s="110" t="inlineStr">
        <is>
          <t>John Costa</t>
        </is>
      </c>
      <c r="D112" s="110" t="inlineStr">
        <is>
          <t>Ceased Services</t>
        </is>
      </c>
      <c r="E112" s="110" t="inlineStr">
        <is>
          <t>HC</t>
        </is>
      </c>
      <c r="F112" s="113" t="inlineStr">
        <is>
          <t>NOK Andrea mentioned that client would prefer doing the exercises in his own time.</t>
        </is>
      </c>
    </row>
    <row r="113">
      <c r="A113" s="110" t="inlineStr">
        <is>
          <t>Felina</t>
        </is>
      </c>
      <c r="B113" s="111" t="n">
        <v>45901</v>
      </c>
      <c r="C113" s="110" t="inlineStr">
        <is>
          <t>Sinead Collins</t>
        </is>
      </c>
      <c r="D113" s="110" t="inlineStr">
        <is>
          <t>Ceased Services</t>
        </is>
      </c>
      <c r="E113" s="110" t="inlineStr">
        <is>
          <t>Private</t>
        </is>
      </c>
      <c r="F113" s="113" t="inlineStr">
        <is>
          <t>she had transitioned to an in clinic physio</t>
        </is>
      </c>
    </row>
    <row r="114">
      <c r="A114" s="110" t="inlineStr">
        <is>
          <t>Felina</t>
        </is>
      </c>
      <c r="B114" s="111" t="n">
        <v>45901</v>
      </c>
      <c r="C114" s="110" t="inlineStr">
        <is>
          <t>Elizabeth Collins</t>
        </is>
      </c>
      <c r="D114" s="110" t="inlineStr">
        <is>
          <t>Ceased Services</t>
        </is>
      </c>
      <c r="E114" s="110" t="inlineStr">
        <is>
          <t>Private</t>
        </is>
      </c>
      <c r="F114" s="112" t="inlineStr">
        <is>
          <t>Only required once-off physio</t>
        </is>
      </c>
    </row>
    <row r="115" ht="45" customHeight="1">
      <c r="A115" s="110" t="inlineStr">
        <is>
          <t>Felina</t>
        </is>
      </c>
      <c r="B115" s="111" t="n">
        <v>45901</v>
      </c>
      <c r="C115" s="110" t="inlineStr">
        <is>
          <t>Kiruba Harish</t>
        </is>
      </c>
      <c r="D115" s="110" t="inlineStr">
        <is>
          <t>Ceased Services</t>
        </is>
      </c>
      <c r="E115" s="110" t="inlineStr">
        <is>
          <t>Workcover</t>
        </is>
      </c>
      <c r="F115" s="115" t="inlineStr">
        <is>
          <t>We are unable to approve the recovery plan as you have confirmed this relates to in home physiotherapy which we have an open active request for that will be reviewed via an independent medical examination next month. Once we attain the examination report, we are able to advise of an outcome.</t>
        </is>
      </c>
    </row>
    <row r="116" ht="90" customHeight="1">
      <c r="A116" s="110" t="inlineStr">
        <is>
          <t>Felina</t>
        </is>
      </c>
      <c r="B116" s="111" t="n">
        <v>45901</v>
      </c>
      <c r="C116" s="110" t="inlineStr">
        <is>
          <t>Kamal Malaeb</t>
        </is>
      </c>
      <c r="D116" s="110" t="inlineStr">
        <is>
          <t>Ceased Services</t>
        </is>
      </c>
      <c r="E116" s="110" t="inlineStr">
        <is>
          <t>HC</t>
        </is>
      </c>
      <c r="F116" s="112" t="inlineStr">
        <is>
          <t>Kamael prefers to go to a group session on Monday in the community centre  instead of one to one . So thank you for your help . It was nice to meet you
It is very expensive for only 30 minutes . Kamael couldn't remember any of the moves since many moves are introduced at the same time. He enjoys the age strong exercises at the community centre which goes for an hour &amp; much cheaper . Thank you</t>
        </is>
      </c>
    </row>
    <row r="117" ht="45" customHeight="1">
      <c r="A117" s="110" t="inlineStr">
        <is>
          <t>Janice</t>
        </is>
      </c>
      <c r="B117" s="111" t="n">
        <v>45901</v>
      </c>
      <c r="C117" s="110" t="inlineStr">
        <is>
          <t>David Parkinson</t>
        </is>
      </c>
      <c r="D117" s="110" t="inlineStr">
        <is>
          <t>Ceased Services</t>
        </is>
      </c>
      <c r="E117" s="110" t="n"/>
      <c r="F117" s="112" t="inlineStr">
        <is>
          <t>have had a discussion with the support team and David requires more physical massage support to assist with pain.
I will need to find a suitable clinic near David that supports NDIS participants and that can assist.</t>
        </is>
      </c>
    </row>
    <row r="118">
      <c r="A118" s="110" t="inlineStr">
        <is>
          <t>Janice</t>
        </is>
      </c>
      <c r="B118" s="111" t="n">
        <v>45901</v>
      </c>
      <c r="C118" s="110" t="inlineStr">
        <is>
          <t>Catherine Brasier</t>
        </is>
      </c>
      <c r="D118" s="110" t="inlineStr">
        <is>
          <t>Ceased Services</t>
        </is>
      </c>
      <c r="E118" s="110" t="inlineStr">
        <is>
          <t>Private</t>
        </is>
      </c>
      <c r="F118" s="113" t="inlineStr">
        <is>
          <t>(Co-treated with Steph) - my mobility is getting better. I no longer need the appointments</t>
        </is>
      </c>
    </row>
    <row r="119" ht="60" customHeight="1">
      <c r="A119" s="110" t="inlineStr">
        <is>
          <t>Jay</t>
        </is>
      </c>
      <c r="B119" s="111" t="n">
        <v>45901</v>
      </c>
      <c r="C119" s="110" t="inlineStr">
        <is>
          <t>Shirley Peachey</t>
        </is>
      </c>
      <c r="D119" s="110" t="inlineStr">
        <is>
          <t>On Hold</t>
        </is>
      </c>
      <c r="E119" s="110" t="inlineStr">
        <is>
          <t>HC</t>
        </is>
      </c>
      <c r="F119" s="112" t="inlineStr">
        <is>
          <t>Shirley has mentioned she would be keen to continue with physio, but is not quite sure yet of the frequency she would like.
She is currently waiting for some medical reviews and has asked for any future visits to be put on hold for now.
We have agreed to review physio again at the end of September unless we have heard from her prior to this time.</t>
        </is>
      </c>
    </row>
    <row r="120">
      <c r="A120" s="110" t="inlineStr">
        <is>
          <t>Jay</t>
        </is>
      </c>
      <c r="B120" s="111" t="n">
        <v>45901</v>
      </c>
      <c r="C120" s="110" t="inlineStr">
        <is>
          <t>Jade Gormley</t>
        </is>
      </c>
      <c r="D120" s="110" t="inlineStr">
        <is>
          <t>Ceased Services</t>
        </is>
      </c>
      <c r="E120" s="110" t="inlineStr">
        <is>
          <t>Private</t>
        </is>
      </c>
      <c r="F120" s="113" t="inlineStr">
        <is>
          <t>didnt need another appt after the first</t>
        </is>
      </c>
    </row>
    <row r="121">
      <c r="A121" s="110" t="inlineStr">
        <is>
          <t>Jay</t>
        </is>
      </c>
      <c r="B121" s="111" t="n">
        <v>45901</v>
      </c>
      <c r="C121" s="110" t="inlineStr">
        <is>
          <t>Joy Huber</t>
        </is>
      </c>
      <c r="D121" s="110" t="inlineStr">
        <is>
          <t>Ceased Services</t>
        </is>
      </c>
      <c r="E121" s="110" t="inlineStr">
        <is>
          <t>Private</t>
        </is>
      </c>
      <c r="F121" s="113" t="inlineStr">
        <is>
          <t>feeling better will call us again when needs physio,</t>
        </is>
      </c>
    </row>
    <row r="122">
      <c r="A122" s="110" t="inlineStr">
        <is>
          <t>Jay</t>
        </is>
      </c>
      <c r="B122" s="111" t="n">
        <v>45901</v>
      </c>
      <c r="C122" s="110" t="inlineStr">
        <is>
          <t>Isa Pugliese</t>
        </is>
      </c>
      <c r="D122" s="110" t="inlineStr">
        <is>
          <t>Ceased Services</t>
        </is>
      </c>
      <c r="E122" s="110" t="inlineStr">
        <is>
          <t>Private</t>
        </is>
      </c>
      <c r="F122" s="113" t="inlineStr">
        <is>
          <t>short term issue and didnt need follow up at the time, on hold in case anything changes and needs a review</t>
        </is>
      </c>
    </row>
    <row r="123">
      <c r="A123" s="110" t="inlineStr">
        <is>
          <t>Jay</t>
        </is>
      </c>
      <c r="B123" s="111" t="n">
        <v>45901</v>
      </c>
      <c r="C123" s="110" t="inlineStr">
        <is>
          <t>Melanie Taube</t>
        </is>
      </c>
      <c r="D123" s="110" t="inlineStr">
        <is>
          <t>Ceased Services</t>
        </is>
      </c>
      <c r="E123" s="110" t="inlineStr">
        <is>
          <t>Private</t>
        </is>
      </c>
      <c r="F123" s="113" t="inlineStr">
        <is>
          <t>no more appts required</t>
        </is>
      </c>
    </row>
    <row r="124">
      <c r="A124" s="110" t="inlineStr">
        <is>
          <t>Jay</t>
        </is>
      </c>
      <c r="B124" s="111" t="n">
        <v>45901</v>
      </c>
      <c r="C124" s="110" t="inlineStr">
        <is>
          <t>Joan Robertson</t>
        </is>
      </c>
      <c r="D124" s="110" t="inlineStr">
        <is>
          <t>Ceased Services</t>
        </is>
      </c>
      <c r="E124" s="110" t="inlineStr">
        <is>
          <t>HC</t>
        </is>
      </c>
      <c r="F124" s="113" t="inlineStr">
        <is>
          <t>no capacity to service the location</t>
        </is>
      </c>
    </row>
    <row r="125">
      <c r="A125" s="110" t="inlineStr">
        <is>
          <t>Jay</t>
        </is>
      </c>
      <c r="B125" s="111" t="n">
        <v>45901</v>
      </c>
      <c r="C125" s="110" t="inlineStr">
        <is>
          <t>Mustafa Awad</t>
        </is>
      </c>
      <c r="D125" s="110" t="inlineStr">
        <is>
          <t>On Hold</t>
        </is>
      </c>
      <c r="E125" s="110" t="inlineStr">
        <is>
          <t>NDIS</t>
        </is>
      </c>
      <c r="F125" s="112" t="inlineStr">
        <is>
          <t>Out of funds - rejected invoices</t>
        </is>
      </c>
    </row>
    <row r="126">
      <c r="A126" s="110" t="inlineStr">
        <is>
          <t>Jay</t>
        </is>
      </c>
      <c r="B126" s="111" t="n">
        <v>45901</v>
      </c>
      <c r="C126" s="110" t="inlineStr">
        <is>
          <t>Effie Meehan</t>
        </is>
      </c>
      <c r="D126" s="110" t="inlineStr">
        <is>
          <t>Ceased Services</t>
        </is>
      </c>
      <c r="E126" s="110" t="inlineStr">
        <is>
          <t>HC</t>
        </is>
      </c>
      <c r="F126" s="112" t="inlineStr">
        <is>
          <t>No reason</t>
        </is>
      </c>
    </row>
    <row r="127" ht="30" customHeight="1">
      <c r="A127" s="110" t="inlineStr">
        <is>
          <t>Marco</t>
        </is>
      </c>
      <c r="B127" s="111" t="n">
        <v>45901</v>
      </c>
      <c r="C127" s="110" t="inlineStr">
        <is>
          <t>Emma Bowes</t>
        </is>
      </c>
      <c r="D127" s="110" t="inlineStr">
        <is>
          <t>Ceased Services</t>
        </is>
      </c>
      <c r="E127" s="110" t="inlineStr">
        <is>
          <t>NDIS</t>
        </is>
      </c>
      <c r="F127" s="112" t="inlineStr">
        <is>
          <t>9/4/25 SD - On hold - Not answering calls
29/9/25 SD - Changed to ceased</t>
        </is>
      </c>
    </row>
    <row r="128" ht="30" customHeight="1">
      <c r="A128" s="110" t="inlineStr">
        <is>
          <t>Stephen</t>
        </is>
      </c>
      <c r="B128" s="111" t="n">
        <v>45870</v>
      </c>
      <c r="C128" s="110" t="inlineStr">
        <is>
          <t>Edward Mogilevsky</t>
        </is>
      </c>
      <c r="D128" s="110" t="inlineStr">
        <is>
          <t>On Hold</t>
        </is>
      </c>
      <c r="E128" s="110" t="inlineStr">
        <is>
          <t>HC</t>
        </is>
      </c>
      <c r="F128" s="112" t="inlineStr">
        <is>
          <t>just wanted to remind that we stop physio  for for some time.  We let you know date when we're ready for physio  Thank you very much for assistance  Kind regards Alla</t>
        </is>
      </c>
    </row>
    <row r="129">
      <c r="A129" s="110" t="inlineStr">
        <is>
          <t>Alice</t>
        </is>
      </c>
      <c r="B129" s="111" t="n">
        <v>45931</v>
      </c>
      <c r="C129" s="110" t="inlineStr">
        <is>
          <t>Bozica Perkovic</t>
        </is>
      </c>
      <c r="D129" s="110" t="inlineStr">
        <is>
          <t>Ceased Services</t>
        </is>
      </c>
      <c r="E129" s="110" t="inlineStr">
        <is>
          <t>Private</t>
        </is>
      </c>
      <c r="F129" s="113" t="inlineStr">
        <is>
          <t>Daughter called she doesn’t need further physio as used her 5 EPC sessions and taking a break. Was happy with the service</t>
        </is>
      </c>
    </row>
    <row r="130">
      <c r="A130" s="110" t="inlineStr">
        <is>
          <t>Raj</t>
        </is>
      </c>
      <c r="B130" s="111" t="n">
        <v>45901</v>
      </c>
      <c r="C130" s="110" t="inlineStr">
        <is>
          <t>Raelene Corso</t>
        </is>
      </c>
      <c r="D130" s="110" t="inlineStr">
        <is>
          <t>Ceased Services</t>
        </is>
      </c>
      <c r="E130" s="110" t="inlineStr">
        <is>
          <t>Private</t>
        </is>
      </c>
      <c r="F130" s="112" t="inlineStr">
        <is>
          <t>Once off request for workplace report</t>
        </is>
      </c>
    </row>
    <row r="131">
      <c r="A131" s="110" t="inlineStr">
        <is>
          <t>Raj</t>
        </is>
      </c>
      <c r="B131" s="111" t="n">
        <v>45901</v>
      </c>
      <c r="C131" s="110" t="inlineStr">
        <is>
          <t>Harcharn Bains</t>
        </is>
      </c>
      <c r="D131" s="110" t="inlineStr">
        <is>
          <t>On Hold</t>
        </is>
      </c>
      <c r="E131" s="110" t="inlineStr">
        <is>
          <t>Private</t>
        </is>
      </c>
      <c r="F131" s="113" t="inlineStr">
        <is>
          <t>has cardiac rehab for a few weeks</t>
        </is>
      </c>
    </row>
    <row r="132" ht="30" customHeight="1">
      <c r="A132" s="110" t="inlineStr">
        <is>
          <t>Raj</t>
        </is>
      </c>
      <c r="B132" s="111" t="n">
        <v>45901</v>
      </c>
      <c r="C132" s="110" t="inlineStr">
        <is>
          <t>Graeme Vincent</t>
        </is>
      </c>
      <c r="D132" s="110" t="inlineStr">
        <is>
          <t>Ceased Services</t>
        </is>
      </c>
      <c r="E132" s="110" t="inlineStr">
        <is>
          <t>HC</t>
        </is>
      </c>
      <c r="F132" s="112" t="inlineStr">
        <is>
          <t>18/7/25 - On hold (OT), offboarding from aunty grace. We will figure out his new HCP to try and continue services
19/9/25 Offboarded - Uncontactable</t>
        </is>
      </c>
    </row>
    <row r="133">
      <c r="A133" s="110" t="inlineStr">
        <is>
          <t>Raj</t>
        </is>
      </c>
      <c r="B133" s="111" t="n">
        <v>45901</v>
      </c>
      <c r="C133" s="110" t="inlineStr">
        <is>
          <t>Mark Briggs</t>
        </is>
      </c>
      <c r="D133" s="110" t="inlineStr">
        <is>
          <t>Ceased Services</t>
        </is>
      </c>
      <c r="E133" s="110" t="inlineStr">
        <is>
          <t>NDIS</t>
        </is>
      </c>
      <c r="F133" s="113" t="inlineStr">
        <is>
          <t>Mark said he is now getting free physio through the hosp and doesnt require hydro or in-home sessions</t>
        </is>
      </c>
    </row>
    <row r="134" ht="30" customHeight="1">
      <c r="A134" s="110" t="inlineStr">
        <is>
          <t>Shirley</t>
        </is>
      </c>
      <c r="B134" s="111" t="n">
        <v>45901</v>
      </c>
      <c r="C134" s="110" t="inlineStr">
        <is>
          <t>Ciin Man</t>
        </is>
      </c>
      <c r="D134" s="110" t="inlineStr">
        <is>
          <t>Ceased Services</t>
        </is>
      </c>
      <c r="E134" s="110" t="inlineStr">
        <is>
          <t>HC</t>
        </is>
      </c>
      <c r="F134" s="115" t="inlineStr">
        <is>
          <t>offboard for now as she is going overseas soon and I had held off giving any further treatment until she has investigated with a GP for cauda equina syndrome</t>
        </is>
      </c>
    </row>
    <row r="135" ht="30" customHeight="1">
      <c r="A135" s="110" t="inlineStr">
        <is>
          <t>Shirley</t>
        </is>
      </c>
      <c r="B135" s="111" t="n">
        <v>45901</v>
      </c>
      <c r="C135" s="110" t="inlineStr">
        <is>
          <t>Anne Allford</t>
        </is>
      </c>
      <c r="D135" s="110" t="inlineStr">
        <is>
          <t>Ceased Services</t>
        </is>
      </c>
      <c r="E135" s="110" t="inlineStr">
        <is>
          <t>HC</t>
        </is>
      </c>
      <c r="F135" s="112" t="inlineStr">
        <is>
          <t>I have spoken to the Elder this morning and she mentioned that she was very satisfied with the service.
once off request only</t>
        </is>
      </c>
    </row>
    <row r="136" ht="30" customHeight="1">
      <c r="A136" s="110" t="inlineStr">
        <is>
          <t>Shirley</t>
        </is>
      </c>
      <c r="B136" s="111" t="n">
        <v>45901</v>
      </c>
      <c r="C136" s="110" t="inlineStr">
        <is>
          <t>Nicky Pierakos</t>
        </is>
      </c>
      <c r="D136" s="110" t="inlineStr">
        <is>
          <t>Ceased Services</t>
        </is>
      </c>
      <c r="E136" s="110" t="inlineStr">
        <is>
          <t>HC</t>
        </is>
      </c>
      <c r="F136" s="115" t="inlineStr">
        <is>
          <t>Nicky has requested to cancel all ongoing physio sessions as she is happy to self manage and doesn't think she needs it, however will keep for her husband Anastasios</t>
        </is>
      </c>
    </row>
    <row r="137">
      <c r="A137" s="110" t="inlineStr">
        <is>
          <t>Shirley</t>
        </is>
      </c>
      <c r="B137" s="111" t="n">
        <v>45901</v>
      </c>
      <c r="C137" s="110" t="inlineStr">
        <is>
          <t>Walter Paynter</t>
        </is>
      </c>
      <c r="D137" s="110" t="inlineStr">
        <is>
          <t>Ceased Services</t>
        </is>
      </c>
      <c r="E137" s="110" t="inlineStr">
        <is>
          <t>HC</t>
        </is>
      </c>
      <c r="F137" s="112" t="inlineStr">
        <is>
          <t>wife said he has low hc funding and is now going to a clinic referred by GP</t>
        </is>
      </c>
    </row>
    <row r="138">
      <c r="A138" s="110" t="inlineStr">
        <is>
          <t>Simran</t>
        </is>
      </c>
      <c r="B138" s="111" t="n">
        <v>45901</v>
      </c>
      <c r="C138" s="110" t="inlineStr">
        <is>
          <t>Floreano Pivetta</t>
        </is>
      </c>
      <c r="D138" s="110" t="inlineStr">
        <is>
          <t>On Hold</t>
        </is>
      </c>
      <c r="E138" s="110" t="inlineStr">
        <is>
          <t>Private</t>
        </is>
      </c>
      <c r="F138" s="113" t="inlineStr">
        <is>
          <t>Very unwell at the moment and geriatrician has advised to put on hold for now. Will call the client soon to check in.</t>
        </is>
      </c>
    </row>
    <row r="139">
      <c r="A139" s="110" t="inlineStr">
        <is>
          <t>Simran</t>
        </is>
      </c>
      <c r="B139" s="111" t="n">
        <v>45901</v>
      </c>
      <c r="C139" s="110" t="inlineStr">
        <is>
          <t>Kezia Grace</t>
        </is>
      </c>
      <c r="D139" s="110" t="inlineStr">
        <is>
          <t>Ceased Services</t>
        </is>
      </c>
      <c r="E139" s="110" t="inlineStr">
        <is>
          <t>NDIS</t>
        </is>
      </c>
      <c r="F139" s="113" t="inlineStr">
        <is>
          <t>didnt find service helpful</t>
        </is>
      </c>
    </row>
    <row r="140" ht="30" customHeight="1">
      <c r="A140" s="110" t="inlineStr">
        <is>
          <t>Simran</t>
        </is>
      </c>
      <c r="B140" s="111" t="n">
        <v>45901</v>
      </c>
      <c r="C140" s="110" t="inlineStr">
        <is>
          <t>Noel O'leary</t>
        </is>
      </c>
      <c r="D140" s="110" t="inlineStr">
        <is>
          <t>Ceased Services</t>
        </is>
      </c>
      <c r="E140" s="110" t="inlineStr">
        <is>
          <t>NDIS</t>
        </is>
      </c>
      <c r="F140" s="112" t="inlineStr">
        <is>
          <t>15/1/25 SD - On hold - In hospital
17/9 No response when following up new plan</t>
        </is>
      </c>
    </row>
    <row r="141">
      <c r="A141" s="110" t="inlineStr">
        <is>
          <t>Simran</t>
        </is>
      </c>
      <c r="B141" s="111" t="n">
        <v>45901</v>
      </c>
      <c r="C141" s="110" t="inlineStr">
        <is>
          <t>Binod Kunwar</t>
        </is>
      </c>
      <c r="D141" s="110" t="inlineStr">
        <is>
          <t>Ceased Services</t>
        </is>
      </c>
      <c r="E141" s="110" t="inlineStr">
        <is>
          <t>TAC</t>
        </is>
      </c>
      <c r="F141" s="112" t="inlineStr">
        <is>
          <t>No longer required</t>
        </is>
      </c>
    </row>
    <row r="142">
      <c r="A142" s="110" t="inlineStr">
        <is>
          <t>Simran</t>
        </is>
      </c>
      <c r="B142" s="111" t="n">
        <v>45901</v>
      </c>
      <c r="C142" s="110" t="inlineStr">
        <is>
          <t>Ping-Hung Hu</t>
        </is>
      </c>
      <c r="D142" s="110" t="inlineStr">
        <is>
          <t>On Hold</t>
        </is>
      </c>
      <c r="E142" s="110" t="inlineStr">
        <is>
          <t>NDIS</t>
        </is>
      </c>
      <c r="F142" s="113" t="inlineStr">
        <is>
          <t>received text message: Ping and I need some time to settle in, please suspend upcoming sessions with both Ping and me</t>
        </is>
      </c>
    </row>
    <row r="143">
      <c r="A143" s="110" t="inlineStr">
        <is>
          <t>Stephanie</t>
        </is>
      </c>
      <c r="B143" s="111" t="n">
        <v>45901</v>
      </c>
      <c r="C143" s="110" t="inlineStr">
        <is>
          <t>Catherine Brasier</t>
        </is>
      </c>
      <c r="D143" s="110" t="inlineStr">
        <is>
          <t>Ceased Services</t>
        </is>
      </c>
      <c r="E143" s="110" t="inlineStr">
        <is>
          <t>Private</t>
        </is>
      </c>
      <c r="F143" s="113" t="inlineStr">
        <is>
          <t>(Co-treated with Janice) - my mobility is getting better. I no longer need the appointments</t>
        </is>
      </c>
    </row>
    <row r="144">
      <c r="A144" s="110" t="inlineStr">
        <is>
          <t>Stephanie</t>
        </is>
      </c>
      <c r="B144" s="111" t="n">
        <v>45901</v>
      </c>
      <c r="C144" s="110" t="inlineStr">
        <is>
          <t>Linda Pitman</t>
        </is>
      </c>
      <c r="D144" s="110" t="inlineStr">
        <is>
          <t>On Hold</t>
        </is>
      </c>
      <c r="E144" s="110" t="inlineStr">
        <is>
          <t>NDIS</t>
        </is>
      </c>
      <c r="F144" s="112" t="inlineStr">
        <is>
          <t>Low funding</t>
        </is>
      </c>
    </row>
    <row r="145">
      <c r="A145" s="110" t="inlineStr">
        <is>
          <t>Stephanie</t>
        </is>
      </c>
      <c r="B145" s="111" t="n">
        <v>45901</v>
      </c>
      <c r="C145" s="110" t="inlineStr">
        <is>
          <t>Laura Erskine</t>
        </is>
      </c>
      <c r="D145" s="110" t="inlineStr">
        <is>
          <t>On Hold</t>
        </is>
      </c>
      <c r="E145" s="110" t="inlineStr">
        <is>
          <t>NDIS</t>
        </is>
      </c>
      <c r="F145" s="112" t="inlineStr">
        <is>
          <t>Low funding</t>
        </is>
      </c>
    </row>
    <row r="146" ht="30" customHeight="1">
      <c r="A146" s="110" t="inlineStr">
        <is>
          <t>Stephanie</t>
        </is>
      </c>
      <c r="B146" s="111" t="n">
        <v>45901</v>
      </c>
      <c r="C146" s="110" t="inlineStr">
        <is>
          <t>Filippo Cardaci</t>
        </is>
      </c>
      <c r="D146" s="110" t="inlineStr">
        <is>
          <t>Ceased Services</t>
        </is>
      </c>
      <c r="E146" s="110" t="inlineStr">
        <is>
          <t>HC</t>
        </is>
      </c>
      <c r="F146" s="112" t="inlineStr">
        <is>
          <t>14/7/25 SD - On hold - Physio on hold during winter
19/9/25 SD - Offboarded - Doesn't want to do physio</t>
        </is>
      </c>
    </row>
    <row r="147">
      <c r="A147" s="110" t="inlineStr">
        <is>
          <t>Stephen</t>
        </is>
      </c>
      <c r="B147" s="111" t="n">
        <v>45901</v>
      </c>
      <c r="C147" s="110" t="inlineStr">
        <is>
          <t>Ruby Hallowell</t>
        </is>
      </c>
      <c r="D147" s="110" t="inlineStr">
        <is>
          <t>On Hold</t>
        </is>
      </c>
      <c r="E147" s="110" t="inlineStr">
        <is>
          <t>Private</t>
        </is>
      </c>
      <c r="F147" s="113" t="inlineStr">
        <is>
          <t>facility has own physio’s and trying to ask if external physio’s can attend</t>
        </is>
      </c>
    </row>
    <row r="148">
      <c r="A148" s="110" t="inlineStr">
        <is>
          <t>Stephen</t>
        </is>
      </c>
      <c r="B148" s="111" t="n">
        <v>45901</v>
      </c>
      <c r="C148" s="110" t="inlineStr">
        <is>
          <t>John O'Sullivan</t>
        </is>
      </c>
      <c r="D148" s="110" t="inlineStr">
        <is>
          <t>Ceased Services</t>
        </is>
      </c>
      <c r="E148" s="110" t="inlineStr">
        <is>
          <t>Private</t>
        </is>
      </c>
      <c r="F148" s="113" t="inlineStr">
        <is>
          <t>no further sessions required</t>
        </is>
      </c>
    </row>
    <row r="149">
      <c r="A149" s="110" t="inlineStr">
        <is>
          <t>Vincent</t>
        </is>
      </c>
      <c r="B149" s="111" t="n">
        <v>45901</v>
      </c>
      <c r="C149" s="110" t="inlineStr">
        <is>
          <t>Anne Carr</t>
        </is>
      </c>
      <c r="D149" s="110" t="inlineStr">
        <is>
          <t>Ceased Services</t>
        </is>
      </c>
      <c r="E149" s="110" t="inlineStr">
        <is>
          <t>Private</t>
        </is>
      </c>
      <c r="F149" s="113" t="inlineStr">
        <is>
          <t>I am now doing outpatient rehab so I no longer need to continue with these treatments.</t>
        </is>
      </c>
    </row>
    <row r="150">
      <c r="A150" s="110" t="inlineStr">
        <is>
          <t>Vincent</t>
        </is>
      </c>
      <c r="B150" s="111" t="n">
        <v>45901</v>
      </c>
      <c r="C150" s="110" t="inlineStr">
        <is>
          <t>Jennifer Maloney</t>
        </is>
      </c>
      <c r="D150" s="110" t="inlineStr">
        <is>
          <t>Ceased Services</t>
        </is>
      </c>
      <c r="E150" s="110" t="inlineStr">
        <is>
          <t>NDIS</t>
        </is>
      </c>
      <c r="F150" s="113" t="inlineStr">
        <is>
          <t>due to low budget and unhappy with travel costs</t>
        </is>
      </c>
    </row>
    <row r="151" ht="30" customHeight="1">
      <c r="A151" s="110" t="inlineStr">
        <is>
          <t>Alice</t>
        </is>
      </c>
      <c r="B151" s="111" t="n">
        <v>45931</v>
      </c>
      <c r="C151" s="110" t="inlineStr">
        <is>
          <t>Challi Bedada</t>
        </is>
      </c>
      <c r="D151" s="110" t="inlineStr">
        <is>
          <t>Ceased Services</t>
        </is>
      </c>
      <c r="E151" s="110" t="inlineStr">
        <is>
          <t>NDIS</t>
        </is>
      </c>
      <c r="F151" s="112" t="inlineStr">
        <is>
          <t>14/7/25 SD - On hold - In hospital - hospitalised with neck injuries and needs to take a break
8/10/25 SD - Offboarded - Sorry Challi will not require any Physio therapy due to his neck condition.</t>
        </is>
      </c>
    </row>
    <row r="152">
      <c r="A152" s="110" t="n"/>
      <c r="B152" s="111" t="n"/>
      <c r="C152" s="110" t="n"/>
      <c r="D152" s="110" t="n"/>
      <c r="E152" s="110" t="n"/>
      <c r="F152" s="112" t="n"/>
    </row>
    <row r="153">
      <c r="A153" s="110" t="inlineStr">
        <is>
          <t>Alice</t>
        </is>
      </c>
      <c r="B153" s="111" t="n">
        <v>45931</v>
      </c>
      <c r="C153" s="110" t="inlineStr">
        <is>
          <t>Joel Dunn</t>
        </is>
      </c>
      <c r="D153" s="110" t="inlineStr">
        <is>
          <t>Ceased Services</t>
        </is>
      </c>
      <c r="E153" s="110" t="inlineStr">
        <is>
          <t>NDIS</t>
        </is>
      </c>
      <c r="F153" s="113" t="inlineStr">
        <is>
          <t>moving to adelaide</t>
        </is>
      </c>
    </row>
    <row r="154">
      <c r="A154" s="110" t="inlineStr">
        <is>
          <t>Alice</t>
        </is>
      </c>
      <c r="B154" s="111" t="n">
        <v>45931</v>
      </c>
      <c r="C154" s="110" t="inlineStr">
        <is>
          <t>Katie Leyden</t>
        </is>
      </c>
      <c r="D154" s="110" t="inlineStr">
        <is>
          <t>Ceased Services</t>
        </is>
      </c>
      <c r="E154" s="110" t="inlineStr">
        <is>
          <t>TAC</t>
        </is>
      </c>
      <c r="F154" s="113" t="inlineStr">
        <is>
          <t>called to cxl her sessions as she will be attending a clinic. Found it hard in her house as her house isnt practical</t>
        </is>
      </c>
    </row>
    <row r="155">
      <c r="A155" s="110" t="inlineStr">
        <is>
          <t>Alice</t>
        </is>
      </c>
      <c r="B155" s="111" t="n">
        <v>45931</v>
      </c>
      <c r="C155" s="110" t="inlineStr">
        <is>
          <t>Jordan O'Leary</t>
        </is>
      </c>
      <c r="D155" s="110" t="inlineStr">
        <is>
          <t>Ceased Services</t>
        </is>
      </c>
      <c r="E155" s="110" t="inlineStr">
        <is>
          <t>NDIS</t>
        </is>
      </c>
      <c r="F155" s="113" t="inlineStr">
        <is>
          <t>Jordan NDIS plan has been cancelled, as they feel he no longer meets the requirements for funding.</t>
        </is>
      </c>
    </row>
    <row r="156">
      <c r="A156" s="110" t="inlineStr">
        <is>
          <t>Alice</t>
        </is>
      </c>
      <c r="B156" s="111" t="n">
        <v>45931</v>
      </c>
      <c r="C156" s="110" t="inlineStr">
        <is>
          <t>Cheryl-Ann Morrissey</t>
        </is>
      </c>
      <c r="D156" s="110" t="inlineStr">
        <is>
          <t>Ceased Services</t>
        </is>
      </c>
      <c r="E156" s="110" t="inlineStr">
        <is>
          <t>Private</t>
        </is>
      </c>
      <c r="F156" s="113" t="inlineStr">
        <is>
          <t>Cheryl is happy with what she gets from physio for her rehab so this is her last session</t>
        </is>
      </c>
    </row>
    <row r="157">
      <c r="A157" s="110" t="inlineStr">
        <is>
          <t>Alice</t>
        </is>
      </c>
      <c r="B157" s="111" t="n">
        <v>45931</v>
      </c>
      <c r="C157" s="110" t="inlineStr">
        <is>
          <t>Homi Marker</t>
        </is>
      </c>
      <c r="D157" s="110" t="inlineStr">
        <is>
          <t>On Hold</t>
        </is>
      </c>
      <c r="E157" s="110" t="inlineStr">
        <is>
          <t>HC</t>
        </is>
      </c>
      <c r="F157" s="113" t="inlineStr">
        <is>
          <t>Homi’s family said he need to on hold for a while due to the change in plan and they may have a review soon and the family is tol busy organizing all these (potentially change the level of HCP?). They will contact us when everything is settled.</t>
        </is>
      </c>
    </row>
    <row r="158" ht="30" customHeight="1">
      <c r="A158" s="110" t="inlineStr">
        <is>
          <t>Alice</t>
        </is>
      </c>
      <c r="B158" s="111" t="n">
        <v>45931</v>
      </c>
      <c r="C158" s="110" t="inlineStr">
        <is>
          <t>Alicia Jarosz</t>
        </is>
      </c>
      <c r="D158" s="110" t="inlineStr">
        <is>
          <t>On Hold</t>
        </is>
      </c>
      <c r="E158" s="110" t="inlineStr">
        <is>
          <t>HC</t>
        </is>
      </c>
      <c r="F158" s="115" t="inlineStr">
        <is>
          <t>Alicja’s daughter said she is in hospital and have contacted you to cxl today’s session. Also may need to keep her on hold until further notice as Alicja is not very well</t>
        </is>
      </c>
    </row>
    <row r="159" ht="45" customHeight="1">
      <c r="A159" s="110" t="inlineStr">
        <is>
          <t>Alice</t>
        </is>
      </c>
      <c r="B159" s="111" t="n">
        <v>45962</v>
      </c>
      <c r="C159" s="110" t="inlineStr">
        <is>
          <t>Michael Makour</t>
        </is>
      </c>
      <c r="D159" s="110" t="inlineStr">
        <is>
          <t>Ceased Services</t>
        </is>
      </c>
      <c r="E159" s="110" t="inlineStr">
        <is>
          <t>NDIS</t>
        </is>
      </c>
      <c r="F159" s="115" t="inlineStr">
        <is>
          <t xml:space="preserve">Co-treated with Elizabeth: In regards to Micheal Makuor funding. We have not received any updated plan yet. We are currently awaiting a plan review. So it will be better to cease your services first and will update you once we receive an outcome. </t>
        </is>
      </c>
    </row>
    <row r="160" ht="45" customHeight="1">
      <c r="A160" s="110" t="inlineStr">
        <is>
          <t>Elizabeth</t>
        </is>
      </c>
      <c r="B160" s="111" t="n">
        <v>45962</v>
      </c>
      <c r="C160" s="110" t="inlineStr">
        <is>
          <t>Michael Makour</t>
        </is>
      </c>
      <c r="D160" s="110" t="inlineStr">
        <is>
          <t>Ceased Services</t>
        </is>
      </c>
      <c r="E160" s="110" t="inlineStr">
        <is>
          <t>NDIS</t>
        </is>
      </c>
      <c r="F160" s="115" t="inlineStr">
        <is>
          <t xml:space="preserve">Co-treated with Alice: In regards to Micheal Makuor funding. We have not received any updated plan yet. We are currently awaiting a plan review. So it will be better to cease your services first and will update you once we receive an outcome. </t>
        </is>
      </c>
    </row>
    <row r="161">
      <c r="A161" s="110" t="inlineStr">
        <is>
          <t>Alice</t>
        </is>
      </c>
      <c r="B161" s="111" t="n">
        <v>45931</v>
      </c>
      <c r="C161" s="110" t="inlineStr">
        <is>
          <t>Tony Magiras</t>
        </is>
      </c>
      <c r="D161" s="110" t="inlineStr">
        <is>
          <t>On Hold</t>
        </is>
      </c>
      <c r="E161" s="110" t="inlineStr">
        <is>
          <t>Private</t>
        </is>
      </c>
      <c r="F161" s="112" t="inlineStr">
        <is>
          <t>he is in hosp, cancelled initial appt</t>
        </is>
      </c>
    </row>
    <row r="162">
      <c r="A162" s="110" t="inlineStr">
        <is>
          <t>April</t>
        </is>
      </c>
      <c r="B162" s="111" t="n">
        <v>45931</v>
      </c>
      <c r="C162" s="110" t="inlineStr">
        <is>
          <t>Sandra Fielding</t>
        </is>
      </c>
      <c r="D162" s="110" t="inlineStr">
        <is>
          <t>Ceased Services</t>
        </is>
      </c>
      <c r="E162" s="110" t="inlineStr">
        <is>
          <t>HC</t>
        </is>
      </c>
      <c r="F162" s="113" t="inlineStr">
        <is>
          <t>Sandra is focusing on her health post-hospital</t>
        </is>
      </c>
    </row>
    <row r="163">
      <c r="A163" s="110" t="inlineStr">
        <is>
          <t>Beth</t>
        </is>
      </c>
      <c r="B163" s="111" t="n">
        <v>45931</v>
      </c>
      <c r="C163" s="110" t="inlineStr">
        <is>
          <t>Jennifer Coombe</t>
        </is>
      </c>
      <c r="D163" s="110" t="inlineStr">
        <is>
          <t>On Hold</t>
        </is>
      </c>
      <c r="E163" s="110" t="inlineStr">
        <is>
          <t>HC</t>
        </is>
      </c>
      <c r="F163" s="112" t="inlineStr">
        <is>
          <t>Uncontactable</t>
        </is>
      </c>
    </row>
    <row r="164">
      <c r="A164" s="110" t="inlineStr">
        <is>
          <t>Chris</t>
        </is>
      </c>
      <c r="B164" s="111" t="n">
        <v>45931</v>
      </c>
      <c r="C164" s="110" t="inlineStr">
        <is>
          <t>Michael Bacon</t>
        </is>
      </c>
      <c r="D164" s="110" t="inlineStr">
        <is>
          <t>Ceased Services</t>
        </is>
      </c>
      <c r="E164" s="110" t="inlineStr">
        <is>
          <t>NDIS</t>
        </is>
      </c>
      <c r="F164" s="113" t="inlineStr">
        <is>
          <t>didnt receive physio in new plan</t>
        </is>
      </c>
    </row>
    <row r="165">
      <c r="A165" s="110" t="inlineStr">
        <is>
          <t>Chris</t>
        </is>
      </c>
      <c r="B165" s="111" t="n">
        <v>45931</v>
      </c>
      <c r="C165" s="110" t="inlineStr">
        <is>
          <t>Giuseppe Carrubba</t>
        </is>
      </c>
      <c r="D165" s="110" t="inlineStr">
        <is>
          <t>Ceased Services</t>
        </is>
      </c>
      <c r="E165" s="110" t="inlineStr">
        <is>
          <t>HC</t>
        </is>
      </c>
      <c r="F165" s="112" t="inlineStr">
        <is>
          <t>requested to stop his Physio sessions till further notice</t>
        </is>
      </c>
    </row>
    <row r="166" ht="30" customHeight="1">
      <c r="A166" s="110" t="inlineStr">
        <is>
          <t>Chris</t>
        </is>
      </c>
      <c r="B166" s="111" t="n">
        <v>45931</v>
      </c>
      <c r="C166" s="110" t="inlineStr">
        <is>
          <t>Giuseppa Carrubba</t>
        </is>
      </c>
      <c r="D166" s="110" t="inlineStr">
        <is>
          <t>Ceased Services</t>
        </is>
      </c>
      <c r="E166" s="110" t="inlineStr">
        <is>
          <t>HC</t>
        </is>
      </c>
      <c r="F166" s="115" t="inlineStr">
        <is>
          <t>May we please cancel services for Giuseppa Carruba (wife of Giuseppe), her son has just informed us they would no longer like to proceed.</t>
        </is>
      </c>
    </row>
    <row r="167" ht="90" customHeight="1">
      <c r="A167" s="110" t="inlineStr">
        <is>
          <t>Chris</t>
        </is>
      </c>
      <c r="B167" s="111" t="n">
        <v>45931</v>
      </c>
      <c r="C167" s="110" t="inlineStr">
        <is>
          <t>Colin Cook</t>
        </is>
      </c>
      <c r="D167" s="110" t="inlineStr">
        <is>
          <t>On Hold</t>
        </is>
      </c>
      <c r="E167" s="110" t="inlineStr">
        <is>
          <t>HC</t>
        </is>
      </c>
      <c r="F167" s="112" t="inlineStr">
        <is>
          <t>He has requested to cancel his upcoming physiotherapy session, currently booked for next Wednesday, and would like to postpone further sessions until the swelling in his leg has reduced.
Therefore, I kindly request the cancellation of all future physiotherapy appointments for Colin until he specifically requests to resume treatment.
Despite this temporary pause, Colin provided very positive feedback regarding Chris, the physiotherapist, and his care.</t>
        </is>
      </c>
    </row>
    <row r="168">
      <c r="A168" s="110" t="inlineStr">
        <is>
          <t>Chris</t>
        </is>
      </c>
      <c r="B168" s="111" t="n">
        <v>45931</v>
      </c>
      <c r="C168" s="110" t="inlineStr">
        <is>
          <t>Anthony Panaia</t>
        </is>
      </c>
      <c r="D168" s="110" t="inlineStr">
        <is>
          <t>On Hold</t>
        </is>
      </c>
      <c r="E168" s="110" t="inlineStr">
        <is>
          <t>NDIS</t>
        </is>
      </c>
      <c r="F168" s="113" t="inlineStr">
        <is>
          <t>out of funds</t>
        </is>
      </c>
    </row>
    <row r="169">
      <c r="A169" s="110" t="inlineStr">
        <is>
          <t>Chris</t>
        </is>
      </c>
      <c r="B169" s="111" t="n">
        <v>45931</v>
      </c>
      <c r="C169" s="110" t="inlineStr">
        <is>
          <t>James Long</t>
        </is>
      </c>
      <c r="D169" s="110" t="inlineStr">
        <is>
          <t>On Hold</t>
        </is>
      </c>
      <c r="E169" s="110" t="inlineStr">
        <is>
          <t>Private</t>
        </is>
      </c>
      <c r="F169" s="113" t="inlineStr">
        <is>
          <t>Doctor thinks issue may be neurological rather then muscular, so want to try and sort that out before coming back</t>
        </is>
      </c>
    </row>
    <row r="170">
      <c r="A170" s="110" t="inlineStr">
        <is>
          <t>Dan H</t>
        </is>
      </c>
      <c r="B170" s="111" t="n">
        <v>45931</v>
      </c>
      <c r="C170" s="110" t="inlineStr">
        <is>
          <t>Sophie Parker</t>
        </is>
      </c>
      <c r="D170" s="110" t="inlineStr">
        <is>
          <t>On Hold</t>
        </is>
      </c>
      <c r="E170" s="110" t="inlineStr">
        <is>
          <t>NDIS</t>
        </is>
      </c>
      <c r="F170" s="112" t="inlineStr">
        <is>
          <t>Too busy looking after kids to commit to any appts.</t>
        </is>
      </c>
    </row>
    <row r="171">
      <c r="A171" s="110" t="inlineStr">
        <is>
          <t>Elizabeth</t>
        </is>
      </c>
      <c r="B171" s="111" t="n">
        <v>45931</v>
      </c>
      <c r="C171" s="110" t="inlineStr">
        <is>
          <t>Pushpa Singh</t>
        </is>
      </c>
      <c r="D171" s="110" t="inlineStr">
        <is>
          <t>On Hold</t>
        </is>
      </c>
      <c r="E171" s="110" t="inlineStr">
        <is>
          <t>HC</t>
        </is>
      </c>
      <c r="F171" s="113" t="inlineStr">
        <is>
          <t>cm contacted elizabeth to put sessions on hold due to low funds</t>
        </is>
      </c>
    </row>
    <row r="172">
      <c r="A172" s="110" t="inlineStr">
        <is>
          <t>Eva</t>
        </is>
      </c>
      <c r="B172" s="111" t="n">
        <v>45931</v>
      </c>
      <c r="C172" s="110" t="inlineStr">
        <is>
          <t>Angela Ferguson</t>
        </is>
      </c>
      <c r="D172" s="110" t="inlineStr">
        <is>
          <t>On Hold</t>
        </is>
      </c>
      <c r="E172" s="110" t="inlineStr">
        <is>
          <t>HC</t>
        </is>
      </c>
      <c r="F172" s="113" t="inlineStr">
        <is>
          <t>currently receiving treatment from chiro, will get back to us when back is better</t>
        </is>
      </c>
    </row>
    <row r="173">
      <c r="A173" s="110" t="inlineStr">
        <is>
          <t>Eva</t>
        </is>
      </c>
      <c r="B173" s="111" t="n">
        <v>45931</v>
      </c>
      <c r="C173" s="110" t="inlineStr">
        <is>
          <t>Sara Farooqui</t>
        </is>
      </c>
      <c r="D173" s="110" t="inlineStr">
        <is>
          <t>Ceased Services</t>
        </is>
      </c>
      <c r="E173" s="110" t="inlineStr">
        <is>
          <t>Private</t>
        </is>
      </c>
      <c r="F173" s="113" t="inlineStr">
        <is>
          <t>mentioned physio not affordable + foot feeling better, will continue with exercises</t>
        </is>
      </c>
    </row>
    <row r="174">
      <c r="A174" s="110" t="inlineStr">
        <is>
          <t>Eva</t>
        </is>
      </c>
      <c r="B174" s="111" t="n">
        <v>45931</v>
      </c>
      <c r="C174" s="110" t="inlineStr">
        <is>
          <t>Zubayr Abdulwahab</t>
        </is>
      </c>
      <c r="D174" s="110" t="inlineStr">
        <is>
          <t>Ceased Services</t>
        </is>
      </c>
      <c r="E174" s="110" t="inlineStr">
        <is>
          <t>Private</t>
        </is>
      </c>
      <c r="F174" s="113" t="inlineStr">
        <is>
          <t>Overwhelmed and mum is burnt out</t>
        </is>
      </c>
    </row>
    <row r="175">
      <c r="A175" s="110" t="inlineStr">
        <is>
          <t>Eva</t>
        </is>
      </c>
      <c r="B175" s="111" t="n">
        <v>45931</v>
      </c>
      <c r="C175" s="110" t="inlineStr">
        <is>
          <t>Khalid Abdulwahab</t>
        </is>
      </c>
      <c r="D175" s="110" t="inlineStr">
        <is>
          <t>Ceased Services</t>
        </is>
      </c>
      <c r="E175" s="110" t="inlineStr">
        <is>
          <t>Private</t>
        </is>
      </c>
      <c r="F175" s="113" t="inlineStr">
        <is>
          <t>Overwhelmed and mum is burnt out</t>
        </is>
      </c>
    </row>
    <row r="176">
      <c r="A176" s="110" t="inlineStr">
        <is>
          <t>Eva</t>
        </is>
      </c>
      <c r="B176" s="111" t="n">
        <v>45931</v>
      </c>
      <c r="C176" s="110" t="inlineStr">
        <is>
          <t>Sujesh Nair</t>
        </is>
      </c>
      <c r="D176" s="110" t="inlineStr">
        <is>
          <t>Ceased Services</t>
        </is>
      </c>
      <c r="E176" s="110" t="inlineStr">
        <is>
          <t>Private</t>
        </is>
      </c>
      <c r="F176" s="113" t="inlineStr">
        <is>
          <t>no more sessions needed, didnt call back to book again</t>
        </is>
      </c>
    </row>
    <row r="177">
      <c r="A177" s="110" t="inlineStr">
        <is>
          <t>Eva</t>
        </is>
      </c>
      <c r="B177" s="111" t="n">
        <v>45931</v>
      </c>
      <c r="C177" s="110" t="inlineStr">
        <is>
          <t>Carmine Rizzo</t>
        </is>
      </c>
      <c r="D177" s="110" t="inlineStr">
        <is>
          <t>Ceased Services</t>
        </is>
      </c>
      <c r="E177" s="110" t="inlineStr">
        <is>
          <t>NDIS</t>
        </is>
      </c>
      <c r="F177" s="113" t="inlineStr">
        <is>
          <t>physio goals have been achieved.</t>
        </is>
      </c>
    </row>
    <row r="178">
      <c r="A178" s="110" t="inlineStr">
        <is>
          <t>Felina</t>
        </is>
      </c>
      <c r="B178" s="111" t="n">
        <v>45931</v>
      </c>
      <c r="C178" s="110" t="inlineStr">
        <is>
          <t>Kenneth Haddrell</t>
        </is>
      </c>
      <c r="D178" s="110" t="inlineStr">
        <is>
          <t>Ceased Services</t>
        </is>
      </c>
      <c r="E178" s="110" t="inlineStr">
        <is>
          <t>NDIS</t>
        </is>
      </c>
      <c r="F178" s="113" t="inlineStr">
        <is>
          <t>email from SC advising to cease as Ken will be ceasing all treatment soon</t>
        </is>
      </c>
    </row>
    <row r="179" ht="30" customHeight="1">
      <c r="A179" s="110" t="inlineStr">
        <is>
          <t>Felina</t>
        </is>
      </c>
      <c r="B179" s="111" t="n">
        <v>45931</v>
      </c>
      <c r="C179" s="110" t="inlineStr">
        <is>
          <t>Jennifer Eborall</t>
        </is>
      </c>
      <c r="D179" s="110" t="inlineStr">
        <is>
          <t>On Hold</t>
        </is>
      </c>
      <c r="E179" s="110" t="inlineStr">
        <is>
          <t>NDIS</t>
        </is>
      </c>
      <c r="F179" s="112" t="inlineStr">
        <is>
          <t>called to cancel and hold appts as her dad is in hospital and will likely be there for 6 weeks. Jennifer will call to schedule appts again when ready.</t>
        </is>
      </c>
    </row>
    <row r="180">
      <c r="A180" s="110" t="inlineStr">
        <is>
          <t>Janice</t>
        </is>
      </c>
      <c r="B180" s="111" t="n">
        <v>45931</v>
      </c>
      <c r="C180" s="110" t="inlineStr">
        <is>
          <t>Kenneth Wilson</t>
        </is>
      </c>
      <c r="D180" s="110" t="inlineStr">
        <is>
          <t>On Hold</t>
        </is>
      </c>
      <c r="E180" s="110" t="inlineStr">
        <is>
          <t>HC</t>
        </is>
      </c>
      <c r="F180" s="113" t="inlineStr">
        <is>
          <t>requested to place the service on hold until further notice due to personal reasons</t>
        </is>
      </c>
    </row>
    <row r="181">
      <c r="A181" s="110" t="inlineStr">
        <is>
          <t>Janice</t>
        </is>
      </c>
      <c r="B181" s="111" t="n">
        <v>45931</v>
      </c>
      <c r="C181" s="110" t="inlineStr">
        <is>
          <t>Geoffrey Waters</t>
        </is>
      </c>
      <c r="D181" s="110" t="inlineStr">
        <is>
          <t>Ceased Services</t>
        </is>
      </c>
      <c r="E181" s="110" t="inlineStr">
        <is>
          <t>Private</t>
        </is>
      </c>
      <c r="F181" s="112" t="inlineStr">
        <is>
          <t>Attending specialist clinic</t>
        </is>
      </c>
    </row>
    <row r="182">
      <c r="A182" s="110" t="inlineStr">
        <is>
          <t>Jay</t>
        </is>
      </c>
      <c r="B182" s="111" t="n">
        <v>45931</v>
      </c>
      <c r="C182" s="110" t="inlineStr">
        <is>
          <t>Najwa Aboueid</t>
        </is>
      </c>
      <c r="D182" s="110" t="inlineStr">
        <is>
          <t>Ceased Services</t>
        </is>
      </c>
      <c r="E182" s="110" t="inlineStr">
        <is>
          <t>HC</t>
        </is>
      </c>
      <c r="F182" s="113" t="inlineStr">
        <is>
          <t>cm emailed to cease, there were no appts booked due to availability</t>
        </is>
      </c>
    </row>
    <row r="183">
      <c r="A183" s="110" t="inlineStr">
        <is>
          <t>Jay</t>
        </is>
      </c>
      <c r="B183" s="111" t="n">
        <v>45931</v>
      </c>
      <c r="C183" s="110" t="inlineStr">
        <is>
          <t>Alfred Graham</t>
        </is>
      </c>
      <c r="D183" s="110" t="inlineStr">
        <is>
          <t>Ceased Services</t>
        </is>
      </c>
      <c r="E183" s="110" t="inlineStr">
        <is>
          <t>NDIS</t>
        </is>
      </c>
      <c r="F183" s="113" t="inlineStr">
        <is>
          <t>can’t get a hold of anyone to get update on new plan since June 2025</t>
        </is>
      </c>
    </row>
    <row r="184">
      <c r="A184" s="110" t="inlineStr">
        <is>
          <t>Jay</t>
        </is>
      </c>
      <c r="B184" s="111" t="n">
        <v>45931</v>
      </c>
      <c r="C184" s="110" t="inlineStr">
        <is>
          <t>Gina Ly</t>
        </is>
      </c>
      <c r="D184" s="110" t="inlineStr">
        <is>
          <t>Ceased Services</t>
        </is>
      </c>
      <c r="E184" s="110" t="inlineStr">
        <is>
          <t>NDIS</t>
        </is>
      </c>
      <c r="F184" s="113" t="inlineStr">
        <is>
          <t>she likes to come to the clinic instead of having service delivered at home.</t>
        </is>
      </c>
    </row>
    <row r="185">
      <c r="A185" s="110" t="inlineStr">
        <is>
          <t>Jay</t>
        </is>
      </c>
      <c r="B185" s="111" t="n">
        <v>45931</v>
      </c>
      <c r="C185" s="110" t="inlineStr">
        <is>
          <t>Igor Janev</t>
        </is>
      </c>
      <c r="D185" s="110" t="inlineStr">
        <is>
          <t>Ceased Services</t>
        </is>
      </c>
      <c r="E185" s="110" t="inlineStr">
        <is>
          <t>Private</t>
        </is>
      </c>
      <c r="F185" s="113" t="inlineStr">
        <is>
          <t>only needed 1 session</t>
        </is>
      </c>
    </row>
    <row r="186">
      <c r="A186" s="110" t="inlineStr">
        <is>
          <t>Jay</t>
        </is>
      </c>
      <c r="B186" s="111" t="n">
        <v>45931</v>
      </c>
      <c r="C186" s="110" t="inlineStr">
        <is>
          <t>John Stinson</t>
        </is>
      </c>
      <c r="D186" s="110" t="inlineStr">
        <is>
          <t>Ceased Services</t>
        </is>
      </c>
      <c r="E186" s="110" t="inlineStr">
        <is>
          <t>HC</t>
        </is>
      </c>
      <c r="F186" s="113" t="inlineStr">
        <is>
          <t>used all of his allocated sessions</t>
        </is>
      </c>
    </row>
    <row r="187">
      <c r="A187" s="110" t="inlineStr">
        <is>
          <t>Jay</t>
        </is>
      </c>
      <c r="B187" s="111" t="n">
        <v>45931</v>
      </c>
      <c r="C187" s="110" t="inlineStr">
        <is>
          <t>Irini Bandes</t>
        </is>
      </c>
      <c r="D187" s="110" t="inlineStr">
        <is>
          <t>On Hold</t>
        </is>
      </c>
      <c r="E187" s="110" t="inlineStr">
        <is>
          <t>HC</t>
        </is>
      </c>
      <c r="F187" s="112" t="inlineStr">
        <is>
          <t>Low funding</t>
        </is>
      </c>
    </row>
    <row r="188">
      <c r="A188" s="110" t="inlineStr">
        <is>
          <t>Marco</t>
        </is>
      </c>
      <c r="B188" s="111" t="n">
        <v>45931</v>
      </c>
      <c r="C188" s="110" t="inlineStr">
        <is>
          <t>Melanie King</t>
        </is>
      </c>
      <c r="D188" s="110" t="inlineStr">
        <is>
          <t>On Hold</t>
        </is>
      </c>
      <c r="E188" s="110" t="inlineStr">
        <is>
          <t>NDIS</t>
        </is>
      </c>
      <c r="F188" s="113" t="inlineStr">
        <is>
          <t>on hold until the beginning of Feb. Her plan rolls over then and just wants to stick with certain services until then.</t>
        </is>
      </c>
    </row>
    <row r="189">
      <c r="A189" s="110" t="inlineStr">
        <is>
          <t>Marco</t>
        </is>
      </c>
      <c r="B189" s="111" t="n">
        <v>45931</v>
      </c>
      <c r="C189" s="110" t="inlineStr">
        <is>
          <t>Marco Todesco</t>
        </is>
      </c>
      <c r="D189" s="110" t="inlineStr">
        <is>
          <t>On Hold</t>
        </is>
      </c>
      <c r="E189" s="110" t="inlineStr">
        <is>
          <t>NDIS</t>
        </is>
      </c>
      <c r="F189" s="113" t="inlineStr">
        <is>
          <t>on hold due to low funds and use for a report instead</t>
        </is>
      </c>
    </row>
    <row r="190">
      <c r="A190" s="110" t="inlineStr">
        <is>
          <t>Marco</t>
        </is>
      </c>
      <c r="B190" s="111" t="n">
        <v>45931</v>
      </c>
      <c r="C190" s="110" t="inlineStr">
        <is>
          <t>Lachlan Yandle-Wall</t>
        </is>
      </c>
      <c r="D190" s="110" t="inlineStr">
        <is>
          <t>Ceased Services</t>
        </is>
      </c>
      <c r="E190" s="110" t="inlineStr">
        <is>
          <t>NDIS</t>
        </is>
      </c>
      <c r="F190" s="113" t="inlineStr">
        <is>
          <t>Hydro not in new plan</t>
        </is>
      </c>
    </row>
    <row r="191">
      <c r="A191" s="110" t="inlineStr">
        <is>
          <t>Marco</t>
        </is>
      </c>
      <c r="B191" s="111" t="n">
        <v>45931</v>
      </c>
      <c r="C191" s="110" t="inlineStr">
        <is>
          <t>Wayne Arthur</t>
        </is>
      </c>
      <c r="D191" s="110" t="inlineStr">
        <is>
          <t>Ceased Services</t>
        </is>
      </c>
      <c r="E191" s="110" t="inlineStr">
        <is>
          <t>NDIS</t>
        </is>
      </c>
      <c r="F191" s="112" t="inlineStr">
        <is>
          <t>OOF</t>
        </is>
      </c>
    </row>
    <row r="192" ht="60" customHeight="1">
      <c r="A192" s="110" t="inlineStr">
        <is>
          <t>Marco</t>
        </is>
      </c>
      <c r="B192" s="111" t="n">
        <v>45931</v>
      </c>
      <c r="C192" s="110" t="inlineStr">
        <is>
          <t>Michael Backus</t>
        </is>
      </c>
      <c r="D192" s="110" t="inlineStr">
        <is>
          <t>Ceased Services</t>
        </is>
      </c>
      <c r="E192" s="110" t="inlineStr">
        <is>
          <t>NDIS</t>
        </is>
      </c>
      <c r="F192" s="112" t="inlineStr">
        <is>
          <t>4/6/25 SD - On hold - Continuing to decline PT input. Will check in July
13/10/25 SD - Offboarded - Michael is currently accessing fortnightly physiotherapy sessions with Lorraine from Healthy Kids at Play.
He is extremely happy under her care and follows a home program on a daily basis.</t>
        </is>
      </c>
    </row>
    <row r="193">
      <c r="A193" s="110" t="inlineStr">
        <is>
          <t>Marco</t>
        </is>
      </c>
      <c r="B193" s="111" t="n">
        <v>45931</v>
      </c>
      <c r="C193" s="110" t="inlineStr">
        <is>
          <t>Celestina Battistella</t>
        </is>
      </c>
      <c r="D193" s="110" t="inlineStr">
        <is>
          <t>On Hold</t>
        </is>
      </c>
      <c r="E193" s="110" t="inlineStr">
        <is>
          <t>HC</t>
        </is>
      </c>
      <c r="F193" s="113" t="inlineStr">
        <is>
          <t>CM called to put on hold due to budget</t>
        </is>
      </c>
    </row>
    <row r="194">
      <c r="A194" s="110" t="inlineStr">
        <is>
          <t>Raj</t>
        </is>
      </c>
      <c r="B194" s="111" t="n">
        <v>45931</v>
      </c>
      <c r="C194" s="110" t="inlineStr">
        <is>
          <t>Bryce Graham</t>
        </is>
      </c>
      <c r="D194" s="110" t="inlineStr">
        <is>
          <t>On Hold</t>
        </is>
      </c>
      <c r="E194" s="110" t="inlineStr">
        <is>
          <t>Private</t>
        </is>
      </c>
      <c r="F194" s="112" t="inlineStr">
        <is>
          <t>In hospital</t>
        </is>
      </c>
    </row>
    <row r="195">
      <c r="A195" s="110" t="inlineStr">
        <is>
          <t>Raj</t>
        </is>
      </c>
      <c r="B195" s="111" t="n">
        <v>45931</v>
      </c>
      <c r="C195" s="110" t="inlineStr">
        <is>
          <t>Effie Nikolopoulos</t>
        </is>
      </c>
      <c r="D195" s="110" t="inlineStr">
        <is>
          <t>On Hold</t>
        </is>
      </c>
      <c r="E195" s="110" t="inlineStr">
        <is>
          <t>Private</t>
        </is>
      </c>
      <c r="F195" s="112" t="inlineStr">
        <is>
          <t>In rehab</t>
        </is>
      </c>
    </row>
    <row r="196" ht="30" customHeight="1">
      <c r="A196" s="110" t="inlineStr">
        <is>
          <t>Raj</t>
        </is>
      </c>
      <c r="B196" s="111" t="n">
        <v>45931</v>
      </c>
      <c r="C196" s="110" t="inlineStr">
        <is>
          <t>Mithlesh Pathik</t>
        </is>
      </c>
      <c r="D196" s="110" t="inlineStr">
        <is>
          <t>On Hold</t>
        </is>
      </c>
      <c r="E196" s="110" t="inlineStr">
        <is>
          <t>Private</t>
        </is>
      </c>
      <c r="F196" s="112" t="inlineStr">
        <is>
          <t>My mother has been admitted to hospital tonight.
Unfortunately we will have to cancel further appts for now and will advise when she is discharged</t>
        </is>
      </c>
    </row>
    <row r="197">
      <c r="A197" s="110" t="inlineStr">
        <is>
          <t>Raj</t>
        </is>
      </c>
      <c r="B197" s="111" t="n">
        <v>45931</v>
      </c>
      <c r="C197" s="110" t="inlineStr">
        <is>
          <t>Argiri Samarniotis</t>
        </is>
      </c>
      <c r="D197" s="110" t="inlineStr">
        <is>
          <t>Ceased Services</t>
        </is>
      </c>
      <c r="E197" s="110" t="inlineStr">
        <is>
          <t>TAC</t>
        </is>
      </c>
      <c r="F197" s="113" t="inlineStr">
        <is>
          <t>TAC plan expired for in-home and will be going to clinic</t>
        </is>
      </c>
    </row>
    <row r="198" ht="30" customHeight="1">
      <c r="A198" s="110" t="inlineStr">
        <is>
          <t>Raj</t>
        </is>
      </c>
      <c r="B198" s="111" t="n">
        <v>45931</v>
      </c>
      <c r="C198" s="110" t="inlineStr">
        <is>
          <t>Rosalia Perrett</t>
        </is>
      </c>
      <c r="D198" s="110" t="inlineStr">
        <is>
          <t>Ceased Services</t>
        </is>
      </c>
      <c r="E198" s="110" t="inlineStr">
        <is>
          <t>Private</t>
        </is>
      </c>
      <c r="F198" s="115" t="inlineStr">
        <is>
          <t>Raj was great and very considerate of Rosalia's needs however we are going to look into some alternative rehab options for Rosalia.</t>
        </is>
      </c>
    </row>
    <row r="199">
      <c r="A199" s="110" t="inlineStr">
        <is>
          <t>Raj</t>
        </is>
      </c>
      <c r="B199" s="111" t="n">
        <v>45931</v>
      </c>
      <c r="C199" s="110" t="inlineStr">
        <is>
          <t>Elizabeth Distanislao</t>
        </is>
      </c>
      <c r="D199" s="110" t="inlineStr">
        <is>
          <t>On Hold</t>
        </is>
      </c>
      <c r="E199" s="110" t="inlineStr">
        <is>
          <t>HC</t>
        </is>
      </c>
      <c r="F199" s="112" t="inlineStr">
        <is>
          <t>as per the client’s advice, the referral below is to be put on hold until further notice.</t>
        </is>
      </c>
    </row>
    <row r="200">
      <c r="A200" s="110" t="inlineStr">
        <is>
          <t>Raj</t>
        </is>
      </c>
      <c r="B200" s="111" t="n">
        <v>45931</v>
      </c>
      <c r="C200" s="110" t="inlineStr">
        <is>
          <t>Antonio Bentincontri</t>
        </is>
      </c>
      <c r="D200" s="110" t="inlineStr">
        <is>
          <t>On Hold</t>
        </is>
      </c>
      <c r="E200" s="110" t="inlineStr">
        <is>
          <t>HC</t>
        </is>
      </c>
      <c r="F200" s="113" t="inlineStr">
        <is>
          <t>NOK confirmed Antonio has transitioned to respite care today and is expected to stay for 30 days</t>
        </is>
      </c>
    </row>
    <row r="201">
      <c r="A201" s="110" t="inlineStr">
        <is>
          <t>Shirley</t>
        </is>
      </c>
      <c r="B201" s="111" t="n">
        <v>45931</v>
      </c>
      <c r="C201" s="110" t="inlineStr">
        <is>
          <t>Marlene Walton</t>
        </is>
      </c>
      <c r="D201" s="110" t="inlineStr">
        <is>
          <t>Ceased Services</t>
        </is>
      </c>
      <c r="E201" s="110" t="inlineStr">
        <is>
          <t>HC</t>
        </is>
      </c>
      <c r="F201" s="113" t="inlineStr">
        <is>
          <t>Client wasn't happy with the last couple of appointments being cancelled last minute and would like to cancel ongoing services.</t>
        </is>
      </c>
    </row>
    <row r="202" ht="30" customHeight="1">
      <c r="A202" s="110" t="inlineStr">
        <is>
          <t>Shirley</t>
        </is>
      </c>
      <c r="B202" s="111" t="n">
        <v>45931</v>
      </c>
      <c r="C202" s="110" t="inlineStr">
        <is>
          <t>Te Truong</t>
        </is>
      </c>
      <c r="D202" s="110" t="inlineStr">
        <is>
          <t>Ceased Services</t>
        </is>
      </c>
      <c r="E202" s="110" t="inlineStr">
        <is>
          <t>HC</t>
        </is>
      </c>
      <c r="F202" s="112" t="inlineStr">
        <is>
          <t>I would like to inform you that TE has decided to cease physiotherapy services effective immediately.
He has expressed his appreciation for the support and care provided to him.</t>
        </is>
      </c>
    </row>
    <row r="203" ht="60" customHeight="1">
      <c r="A203" s="110" t="inlineStr">
        <is>
          <t>Shirley</t>
        </is>
      </c>
      <c r="B203" s="111" t="n">
        <v>45931</v>
      </c>
      <c r="C203" s="110" t="inlineStr">
        <is>
          <t>Chris Moros</t>
        </is>
      </c>
      <c r="D203" s="110" t="inlineStr">
        <is>
          <t>On Hold</t>
        </is>
      </c>
      <c r="E203" s="110" t="inlineStr">
        <is>
          <t>Workcover</t>
        </is>
      </c>
      <c r="F203" s="112" t="inlineStr">
        <is>
          <t>Please suspend treatment for Chris effective immediately.
I have just received advise that Chris’ surgeon has informed he may need additional surgery.
I had originally emailed the approval to the gym and requested invoicing but I have just advised the gym to halt issuing access at this stage.</t>
        </is>
      </c>
    </row>
    <row r="204" ht="30" customHeight="1">
      <c r="A204" s="110" t="inlineStr">
        <is>
          <t>Shirley</t>
        </is>
      </c>
      <c r="B204" s="111" t="n">
        <v>45931</v>
      </c>
      <c r="C204" s="110" t="inlineStr">
        <is>
          <t>Teresa Pecora</t>
        </is>
      </c>
      <c r="D204" s="110" t="inlineStr">
        <is>
          <t>Ceased Services</t>
        </is>
      </c>
      <c r="E204" s="110" t="inlineStr">
        <is>
          <t>HC</t>
        </is>
      </c>
      <c r="F204" s="112" t="inlineStr">
        <is>
          <t>Teresa has decided to cancel all of her ongoing physiotherapy services.
She appreciates the care and service provided.</t>
        </is>
      </c>
    </row>
    <row r="205">
      <c r="A205" s="110" t="inlineStr">
        <is>
          <t>Shirley</t>
        </is>
      </c>
      <c r="B205" s="111" t="n">
        <v>45931</v>
      </c>
      <c r="C205" s="110" t="inlineStr">
        <is>
          <t>Ruby Wilson</t>
        </is>
      </c>
      <c r="D205" s="110" t="inlineStr">
        <is>
          <t>Ceased Services</t>
        </is>
      </c>
      <c r="E205" s="110" t="inlineStr">
        <is>
          <t>NDIS</t>
        </is>
      </c>
      <c r="F205" s="113" t="inlineStr">
        <is>
          <t>no physio funds in new plan</t>
        </is>
      </c>
    </row>
    <row r="206">
      <c r="A206" s="110" t="inlineStr">
        <is>
          <t>Shirley</t>
        </is>
      </c>
      <c r="B206" s="111" t="n">
        <v>45931</v>
      </c>
      <c r="C206" s="110" t="inlineStr">
        <is>
          <t>Faith Waller</t>
        </is>
      </c>
      <c r="D206" s="110" t="inlineStr">
        <is>
          <t>Ceased Services</t>
        </is>
      </c>
      <c r="E206" s="110" t="inlineStr">
        <is>
          <t>HC</t>
        </is>
      </c>
      <c r="F206" s="112" t="inlineStr">
        <is>
          <t>Only approved for 4 weekly sessions</t>
        </is>
      </c>
    </row>
    <row r="207" ht="60" customHeight="1">
      <c r="A207" s="110" t="inlineStr">
        <is>
          <t>Stephanie</t>
        </is>
      </c>
      <c r="B207" s="111" t="n">
        <v>45931</v>
      </c>
      <c r="C207" s="110" t="inlineStr">
        <is>
          <t>Janice White</t>
        </is>
      </c>
      <c r="D207" s="110" t="inlineStr">
        <is>
          <t>On Hold</t>
        </is>
      </c>
      <c r="E207" s="110" t="inlineStr">
        <is>
          <t>HC</t>
        </is>
      </c>
      <c r="F207" s="115" t="inlineStr">
        <is>
          <t>CM feedback - Janice was feeling very sore from physiotherapy, and she was struggling with the services so decided to cease it, she said it just wasn’t for her.
TP offered complimentary session with Stephen. CM said to cease and if she wants to resume they will contat us back</t>
        </is>
      </c>
    </row>
    <row r="208">
      <c r="A208" s="110" t="inlineStr">
        <is>
          <t>Stephanie</t>
        </is>
      </c>
      <c r="B208" s="111" t="n">
        <v>45931</v>
      </c>
      <c r="C208" s="110" t="inlineStr">
        <is>
          <t>Evelyn Jeyaseelan</t>
        </is>
      </c>
      <c r="D208" s="110" t="inlineStr">
        <is>
          <t>On Hold</t>
        </is>
      </c>
      <c r="E208" s="110" t="inlineStr">
        <is>
          <t>Private</t>
        </is>
      </c>
      <c r="F208" s="113" t="inlineStr">
        <is>
          <t>on hold while away and we're unsure when she is resuming</t>
        </is>
      </c>
    </row>
    <row r="209">
      <c r="A209" s="110" t="inlineStr">
        <is>
          <t>Stephanie</t>
        </is>
      </c>
      <c r="B209" s="111" t="n">
        <v>45931</v>
      </c>
      <c r="C209" s="110" t="inlineStr">
        <is>
          <t>Keith Proctor</t>
        </is>
      </c>
      <c r="D209" s="110" t="inlineStr">
        <is>
          <t>On Hold</t>
        </is>
      </c>
      <c r="E209" s="110" t="inlineStr">
        <is>
          <t>HC</t>
        </is>
      </c>
      <c r="F209" s="113" t="inlineStr">
        <is>
          <t>is in hospital. CM said she will contact us when he is ready to return.</t>
        </is>
      </c>
    </row>
    <row r="210">
      <c r="A210" s="110" t="inlineStr">
        <is>
          <t>Stephanie</t>
        </is>
      </c>
      <c r="B210" s="111" t="n">
        <v>45931</v>
      </c>
      <c r="C210" s="110" t="inlineStr">
        <is>
          <t>Jihan Perides</t>
        </is>
      </c>
      <c r="D210" s="110" t="inlineStr">
        <is>
          <t>Ceased Services</t>
        </is>
      </c>
      <c r="E210" s="110" t="inlineStr">
        <is>
          <t>Private</t>
        </is>
      </c>
      <c r="F210" s="113" t="inlineStr">
        <is>
          <t>was on hold while waiting for scan results but now unable to contact to resume</t>
        </is>
      </c>
    </row>
    <row r="211" ht="30" customHeight="1">
      <c r="A211" s="110" t="inlineStr">
        <is>
          <t>Stephanie</t>
        </is>
      </c>
      <c r="B211" s="111" t="n">
        <v>45931</v>
      </c>
      <c r="C211" s="110" t="inlineStr">
        <is>
          <t>Lucas Jackson</t>
        </is>
      </c>
      <c r="D211" s="110" t="inlineStr">
        <is>
          <t>Ceased Services</t>
        </is>
      </c>
      <c r="E211" s="110" t="inlineStr">
        <is>
          <t>NDIS</t>
        </is>
      </c>
      <c r="F211" s="112" t="inlineStr">
        <is>
          <t>15/8/25 SD - On hold - low funding
24/10/25 SD - Offboarded - No longer needing service</t>
        </is>
      </c>
    </row>
    <row r="212" ht="30" customHeight="1">
      <c r="A212" s="110" t="inlineStr">
        <is>
          <t>Stephanie</t>
        </is>
      </c>
      <c r="B212" s="111" t="n">
        <v>45931</v>
      </c>
      <c r="C212" s="110" t="inlineStr">
        <is>
          <t>Brydie Boyle</t>
        </is>
      </c>
      <c r="D212" s="110" t="inlineStr">
        <is>
          <t>Ceased Services</t>
        </is>
      </c>
      <c r="E212" s="110" t="inlineStr">
        <is>
          <t>NDIS</t>
        </is>
      </c>
      <c r="F212" s="112" t="inlineStr">
        <is>
          <t>13/1/25 SD - Mum requested to put OT and physio on hold
15/10/25 SD - Offboarded - Uncontactable</t>
        </is>
      </c>
    </row>
    <row r="213" ht="30" customHeight="1">
      <c r="A213" s="110" t="inlineStr">
        <is>
          <t>Stephanie</t>
        </is>
      </c>
      <c r="B213" s="111" t="n">
        <v>45931</v>
      </c>
      <c r="C213" s="110" t="inlineStr">
        <is>
          <t>Janice White</t>
        </is>
      </c>
      <c r="D213" s="110" t="inlineStr">
        <is>
          <t>Ceased Services</t>
        </is>
      </c>
      <c r="E213" s="110" t="inlineStr">
        <is>
          <t>HC</t>
        </is>
      </c>
      <c r="F213" s="112" t="inlineStr">
        <is>
          <t xml:space="preserve"> Janice was feeling very sore from physiotherapy, and she was struggling with the services so decided to cease it, she said it just wasn’t for her.</t>
        </is>
      </c>
    </row>
    <row r="214">
      <c r="A214" s="110" t="inlineStr">
        <is>
          <t>Stephen</t>
        </is>
      </c>
      <c r="B214" s="111" t="n">
        <v>45931</v>
      </c>
      <c r="C214" s="110" t="inlineStr">
        <is>
          <t>Kamal Haddad</t>
        </is>
      </c>
      <c r="D214" s="110" t="inlineStr">
        <is>
          <t>On Hold</t>
        </is>
      </c>
      <c r="E214" s="110" t="inlineStr">
        <is>
          <t>HC</t>
        </is>
      </c>
      <c r="F214" s="113" t="inlineStr">
        <is>
          <t>HCP may not have enough funds so he wanted to focus on his equipment and home mods first</t>
        </is>
      </c>
    </row>
    <row r="215">
      <c r="A215" s="110" t="inlineStr">
        <is>
          <t>Vincent</t>
        </is>
      </c>
      <c r="B215" s="111" t="n">
        <v>45931</v>
      </c>
      <c r="C215" s="110" t="inlineStr">
        <is>
          <t>Ralph De Wet</t>
        </is>
      </c>
      <c r="D215" s="110" t="inlineStr">
        <is>
          <t>On Hold</t>
        </is>
      </c>
      <c r="E215" s="110" t="inlineStr">
        <is>
          <t>NDIS</t>
        </is>
      </c>
      <c r="F215" s="113" t="inlineStr">
        <is>
          <t>Requested to be on hold as he will be away for the whole of November. Will resume appts 9/12.</t>
        </is>
      </c>
    </row>
    <row r="216" ht="30" customHeight="1">
      <c r="A216" s="110" t="inlineStr">
        <is>
          <t>Jay</t>
        </is>
      </c>
      <c r="B216" s="111" t="n">
        <v>45962</v>
      </c>
      <c r="C216" s="110" t="inlineStr">
        <is>
          <t>Elijah McKay</t>
        </is>
      </c>
      <c r="D216" s="110" t="inlineStr">
        <is>
          <t>Ceased Services</t>
        </is>
      </c>
      <c r="E216" s="110" t="inlineStr">
        <is>
          <t>NDIS</t>
        </is>
      </c>
      <c r="F216" s="112" t="inlineStr">
        <is>
          <t>25/2/25 On hold due to low funding
3/11/25 No response when following up new plan/restarting</t>
        </is>
      </c>
    </row>
    <row r="217" ht="45" customHeight="1">
      <c r="A217" s="110" t="inlineStr">
        <is>
          <t>Felina</t>
        </is>
      </c>
      <c r="B217" s="111" t="n">
        <v>45962</v>
      </c>
      <c r="C217" s="110" t="inlineStr">
        <is>
          <t>Hannah Costin</t>
        </is>
      </c>
      <c r="D217" s="110" t="inlineStr">
        <is>
          <t>Ceased Services</t>
        </is>
      </c>
      <c r="E217" s="110" t="inlineStr">
        <is>
          <t>NDIS</t>
        </is>
      </c>
      <c r="F217" s="112" t="inlineStr">
        <is>
          <t>24/4/25 SD - On hold - Waiting for outcome of COS to get funding for physio and can check in after a few months if we don't hear back
3/11/25 No response when following up new plan</t>
        </is>
      </c>
    </row>
    <row r="218" ht="30" customHeight="1">
      <c r="A218" s="110" t="inlineStr">
        <is>
          <t>Simran</t>
        </is>
      </c>
      <c r="B218" s="111" t="n">
        <v>45962</v>
      </c>
      <c r="C218" s="110" t="inlineStr">
        <is>
          <t>Dylan Kolouris</t>
        </is>
      </c>
      <c r="D218" s="110" t="inlineStr">
        <is>
          <t>Ceased Services</t>
        </is>
      </c>
      <c r="E218" s="110" t="inlineStr">
        <is>
          <t>NDIS</t>
        </is>
      </c>
      <c r="F218" s="112" t="inlineStr">
        <is>
          <t>3/11/23 SD - On hold - using funds for OT and speech
3/11/25 SD - Offboarded Sorry the family have decided not to proceed with physio for Dylan</t>
        </is>
      </c>
    </row>
    <row r="219" ht="90" customHeight="1">
      <c r="A219" s="110" t="inlineStr">
        <is>
          <t>Alice</t>
        </is>
      </c>
      <c r="B219" s="111" t="n">
        <v>45962</v>
      </c>
      <c r="C219" s="110" t="inlineStr">
        <is>
          <t>Helen Hereward</t>
        </is>
      </c>
      <c r="D219" s="110" t="inlineStr">
        <is>
          <t>On Hold</t>
        </is>
      </c>
      <c r="E219" s="110" t="inlineStr">
        <is>
          <t>HC</t>
        </is>
      </c>
      <c r="F219" s="116" t="inlineStr">
        <is>
          <t>pause all services for Kare Seniors clients starting from 1 November 2025.
The Australian Government’s new Support at Home Program begins on this date and replaces the current Home Care Package system.
We are still waiting for Services Australia to release Access Approvals that confirm which service types and funding apply for each client.
Do not provide any services until we contact you to confirm the new approvals and restart arrangements.</t>
        </is>
      </c>
    </row>
    <row r="220">
      <c r="A220" s="110" t="inlineStr">
        <is>
          <t>Simran</t>
        </is>
      </c>
      <c r="B220" s="111" t="n">
        <v>45962</v>
      </c>
      <c r="C220" s="110" t="inlineStr">
        <is>
          <t>Valerie Lawson</t>
        </is>
      </c>
      <c r="D220" s="110" t="inlineStr">
        <is>
          <t>On Hold</t>
        </is>
      </c>
      <c r="E220" s="110" t="inlineStr">
        <is>
          <t>HC</t>
        </is>
      </c>
      <c r="F220" s="113" t="inlineStr">
        <is>
          <t>on hold until after she gets level 4 funding approved.</t>
        </is>
      </c>
    </row>
    <row r="221">
      <c r="A221" s="110" t="inlineStr">
        <is>
          <t>Stephen</t>
        </is>
      </c>
      <c r="B221" s="111" t="n">
        <v>45962</v>
      </c>
      <c r="C221" s="110" t="inlineStr">
        <is>
          <t>Pearl Prasad</t>
        </is>
      </c>
      <c r="D221" s="110" t="inlineStr">
        <is>
          <t>On Hold</t>
        </is>
      </c>
      <c r="E221" s="110" t="inlineStr">
        <is>
          <t>Private</t>
        </is>
      </c>
      <c r="F221" s="112" t="inlineStr">
        <is>
          <t>Co-treated with Raj - in hospital</t>
        </is>
      </c>
    </row>
    <row r="222">
      <c r="A222" s="110" t="inlineStr">
        <is>
          <t>Raj</t>
        </is>
      </c>
      <c r="B222" s="111" t="n">
        <v>45962</v>
      </c>
      <c r="C222" s="110" t="inlineStr">
        <is>
          <t>Pearl Prasad</t>
        </is>
      </c>
      <c r="D222" s="110" t="inlineStr">
        <is>
          <t>On Hold</t>
        </is>
      </c>
      <c r="E222" s="110" t="inlineStr">
        <is>
          <t>Private</t>
        </is>
      </c>
      <c r="F222" s="112" t="inlineStr">
        <is>
          <t>Co-treated with Stephen - in hospital</t>
        </is>
      </c>
    </row>
    <row r="223" ht="30" customHeight="1">
      <c r="A223" s="110" t="inlineStr">
        <is>
          <t>Chris</t>
        </is>
      </c>
      <c r="B223" s="111" t="n">
        <v>45962</v>
      </c>
      <c r="C223" s="110" t="inlineStr">
        <is>
          <t>Evangelos Ioannou</t>
        </is>
      </c>
      <c r="D223" s="110" t="inlineStr">
        <is>
          <t>On Hold</t>
        </is>
      </c>
      <c r="E223" s="110" t="inlineStr">
        <is>
          <t>HC</t>
        </is>
      </c>
      <c r="F223" s="115" t="inlineStr">
        <is>
          <t>Due to package funds, please notice that the physio therapy, massage therapy and gardening services will need to be kept on hold until further notice.</t>
        </is>
      </c>
    </row>
    <row r="224">
      <c r="A224" s="110" t="inlineStr">
        <is>
          <t>Eva</t>
        </is>
      </c>
      <c r="B224" s="111" t="n">
        <v>45962</v>
      </c>
      <c r="C224" s="110" t="inlineStr">
        <is>
          <t>Georgia Strong</t>
        </is>
      </c>
      <c r="D224" s="110" t="inlineStr">
        <is>
          <t>On Hold</t>
        </is>
      </c>
      <c r="E224" s="110" t="inlineStr">
        <is>
          <t>Private</t>
        </is>
      </c>
      <c r="F224" s="113" t="inlineStr">
        <is>
          <t>in hospital with Pneumonia, mum said she is currently on life support but they are hopeful she will recover</t>
        </is>
      </c>
    </row>
    <row r="225">
      <c r="A225" s="110" t="inlineStr">
        <is>
          <t>Alice</t>
        </is>
      </c>
      <c r="B225" s="111" t="n">
        <v>45962</v>
      </c>
      <c r="C225" s="110" t="inlineStr">
        <is>
          <t>Andrea Berner</t>
        </is>
      </c>
      <c r="D225" s="110" t="inlineStr">
        <is>
          <t>On Hold</t>
        </is>
      </c>
      <c r="E225" s="110" t="inlineStr">
        <is>
          <t>NDIS</t>
        </is>
      </c>
      <c r="F225" s="112" t="inlineStr">
        <is>
          <t>OOF</t>
        </is>
      </c>
    </row>
    <row r="226">
      <c r="A226" s="110" t="inlineStr">
        <is>
          <t>Jay</t>
        </is>
      </c>
      <c r="B226" s="111" t="n">
        <v>45962</v>
      </c>
      <c r="C226" s="110" t="inlineStr">
        <is>
          <t>Anne Gunn</t>
        </is>
      </c>
      <c r="D226" s="110" t="inlineStr">
        <is>
          <t>Ceased Services</t>
        </is>
      </c>
      <c r="E226" s="110" t="inlineStr">
        <is>
          <t>HC</t>
        </is>
      </c>
      <c r="F226" s="115" t="inlineStr">
        <is>
          <t>I have spoken to Anne a few times about resuming physio appointments, but she has not shown an interest so far.</t>
        </is>
      </c>
    </row>
    <row r="227">
      <c r="A227" s="110" t="inlineStr">
        <is>
          <t>Chris</t>
        </is>
      </c>
      <c r="B227" s="111" t="n">
        <v>45962</v>
      </c>
      <c r="C227" s="110" t="inlineStr">
        <is>
          <t>Nathan Nash</t>
        </is>
      </c>
      <c r="D227" s="110" t="inlineStr">
        <is>
          <t>On Hold</t>
        </is>
      </c>
      <c r="E227" s="110" t="inlineStr">
        <is>
          <t>NDIS</t>
        </is>
      </c>
      <c r="F227" s="112" t="inlineStr">
        <is>
          <t>No funding</t>
        </is>
      </c>
    </row>
    <row r="228" ht="45" customHeight="1">
      <c r="A228" s="110" t="inlineStr">
        <is>
          <t>Stephanie</t>
        </is>
      </c>
      <c r="B228" s="111" t="n">
        <v>45962</v>
      </c>
      <c r="C228" s="110" t="inlineStr">
        <is>
          <t>Lucia Isgro</t>
        </is>
      </c>
      <c r="D228" s="110" t="inlineStr">
        <is>
          <t>On Hold</t>
        </is>
      </c>
      <c r="E228" s="110" t="inlineStr">
        <is>
          <t>HC</t>
        </is>
      </c>
      <c r="F228" s="115" t="inlineStr">
        <is>
          <t>Mrs. Isgro has an upcoming surgery / hospital stay on Thursday 13/11 and will likely stay for a couple of days, after which she will likely be reassessed to determine if physiotherapy is still recommended during recovery – As such, could you please place her sessions on hold from Friday 14/11 ongoing.</t>
        </is>
      </c>
    </row>
    <row r="229">
      <c r="A229" s="110" t="inlineStr">
        <is>
          <t>Stephen</t>
        </is>
      </c>
      <c r="B229" s="111" t="n">
        <v>45962</v>
      </c>
      <c r="C229" s="110" t="inlineStr">
        <is>
          <t>Jack Timmins</t>
        </is>
      </c>
      <c r="D229" s="110" t="inlineStr">
        <is>
          <t>Ceased Services</t>
        </is>
      </c>
      <c r="E229" s="110" t="inlineStr">
        <is>
          <t>HC</t>
        </is>
      </c>
      <c r="F229" s="112" t="inlineStr">
        <is>
          <t>Doesn't want ongoing sessions</t>
        </is>
      </c>
    </row>
    <row r="230">
      <c r="A230" s="110" t="inlineStr">
        <is>
          <t>Eva</t>
        </is>
      </c>
      <c r="B230" s="111" t="n">
        <v>45962</v>
      </c>
      <c r="C230" s="110" t="inlineStr">
        <is>
          <t>Scott O'Connel</t>
        </is>
      </c>
      <c r="D230" s="110" t="inlineStr">
        <is>
          <t>Ceased Services</t>
        </is>
      </c>
      <c r="E230" s="110" t="inlineStr">
        <is>
          <t>NDIS</t>
        </is>
      </c>
      <c r="F230" s="112" t="inlineStr">
        <is>
          <t>Scott has decided to go to a different physio moving forward</t>
        </is>
      </c>
    </row>
    <row r="231">
      <c r="A231" s="110" t="inlineStr">
        <is>
          <t>Raj</t>
        </is>
      </c>
      <c r="B231" s="111" t="n">
        <v>45962</v>
      </c>
      <c r="C231" s="110" t="inlineStr">
        <is>
          <t>David Taylor</t>
        </is>
      </c>
      <c r="D231" s="110" t="inlineStr">
        <is>
          <t>On Hold</t>
        </is>
      </c>
      <c r="E231" s="110" t="inlineStr">
        <is>
          <t>Private</t>
        </is>
      </c>
      <c r="F231" s="112" t="inlineStr">
        <is>
          <t>In respite</t>
        </is>
      </c>
    </row>
    <row r="232" ht="30" customHeight="1">
      <c r="A232" s="110" t="inlineStr">
        <is>
          <t>Vincent</t>
        </is>
      </c>
      <c r="B232" s="111" t="n">
        <v>45962</v>
      </c>
      <c r="C232" s="110" t="inlineStr">
        <is>
          <t>Judith Clifford</t>
        </is>
      </c>
      <c r="D232" s="110" t="inlineStr">
        <is>
          <t>Ceased Services</t>
        </is>
      </c>
      <c r="E232" s="110" t="inlineStr">
        <is>
          <t>NDIS</t>
        </is>
      </c>
      <c r="F232" s="109" t="inlineStr">
        <is>
          <t>SC: I believe the start to the relationship was rocky hence Jude’s decision. For Jude to engage it is important to build rapport through consistency and reliability. Unfortunately, this was not the case this time.</t>
        </is>
      </c>
    </row>
    <row r="233">
      <c r="A233" s="110" t="inlineStr">
        <is>
          <t>Vincent</t>
        </is>
      </c>
      <c r="B233" s="111" t="n">
        <v>45962</v>
      </c>
      <c r="C233" s="110" t="inlineStr">
        <is>
          <t>Janos Retek</t>
        </is>
      </c>
      <c r="D233" s="110" t="inlineStr">
        <is>
          <t>Ceased Services</t>
        </is>
      </c>
      <c r="E233" s="110" t="inlineStr">
        <is>
          <t>NDIS</t>
        </is>
      </c>
      <c r="F233" s="113" t="inlineStr">
        <is>
          <t>unable to contact after multiple attempts - service is no longer required.</t>
        </is>
      </c>
    </row>
    <row r="234" ht="30" customHeight="1">
      <c r="A234" s="110" t="inlineStr">
        <is>
          <t>Jay</t>
        </is>
      </c>
      <c r="B234" s="111" t="n">
        <v>45962</v>
      </c>
      <c r="C234" s="110" t="inlineStr">
        <is>
          <t>Joan Lindsey</t>
        </is>
      </c>
      <c r="D234" s="110" t="inlineStr">
        <is>
          <t>Ceased Services</t>
        </is>
      </c>
      <c r="E234" s="110" t="inlineStr">
        <is>
          <t>HC</t>
        </is>
      </c>
      <c r="F234" s="112" t="inlineStr">
        <is>
          <t>15/04/24 TP - Joan called to hold services for 3-6 months due to low funding
10/11/25 SD - Offboarded - On hold for over 12 months</t>
        </is>
      </c>
    </row>
    <row r="235" ht="30" customHeight="1">
      <c r="A235" s="110" t="inlineStr">
        <is>
          <t>Simran</t>
        </is>
      </c>
      <c r="B235" s="111" t="n">
        <v>45962</v>
      </c>
      <c r="C235" s="110" t="inlineStr">
        <is>
          <t>Olga Fedele</t>
        </is>
      </c>
      <c r="D235" s="110" t="inlineStr">
        <is>
          <t>Ceased Services</t>
        </is>
      </c>
      <c r="E235" s="110" t="inlineStr">
        <is>
          <t>HC</t>
        </is>
      </c>
      <c r="F235" s="112" t="inlineStr">
        <is>
          <t>8/4/24 SD - On hold - Low funds
10/11/25 SD - Offboarded - On hold for over 12 months</t>
        </is>
      </c>
    </row>
    <row r="236">
      <c r="A236" s="110" t="inlineStr">
        <is>
          <t>Marco</t>
        </is>
      </c>
      <c r="B236" s="111" t="n">
        <v>45962</v>
      </c>
      <c r="C236" s="110" t="inlineStr">
        <is>
          <t>David De Sousa</t>
        </is>
      </c>
      <c r="D236" s="110" t="inlineStr">
        <is>
          <t>Ceased Services</t>
        </is>
      </c>
      <c r="E236" s="110" t="inlineStr">
        <is>
          <t>NDIS</t>
        </is>
      </c>
      <c r="F236" s="112" t="inlineStr">
        <is>
          <t>10/11/25 SD - Offboarded - On hold for over 12 months</t>
        </is>
      </c>
    </row>
    <row r="237">
      <c r="A237" s="110" t="inlineStr">
        <is>
          <t>Stephanie</t>
        </is>
      </c>
      <c r="B237" s="111" t="n">
        <v>45962</v>
      </c>
      <c r="C237" s="110" t="inlineStr">
        <is>
          <t>Brooke Harman</t>
        </is>
      </c>
      <c r="D237" s="110" t="inlineStr">
        <is>
          <t>On Hold</t>
        </is>
      </c>
      <c r="E237" s="110" t="inlineStr">
        <is>
          <t>NDIS</t>
        </is>
      </c>
      <c r="F237" s="112" t="inlineStr">
        <is>
          <t>Low funding</t>
        </is>
      </c>
    </row>
    <row r="238">
      <c r="A238" s="110" t="inlineStr">
        <is>
          <t>Felina</t>
        </is>
      </c>
      <c r="B238" s="111" t="n">
        <v>45870</v>
      </c>
      <c r="C238" s="110" t="inlineStr">
        <is>
          <t>Ralph Barthelot</t>
        </is>
      </c>
      <c r="D238" s="110" t="inlineStr">
        <is>
          <t>On Hold</t>
        </is>
      </c>
      <c r="E238" s="110" t="inlineStr">
        <is>
          <t>HC</t>
        </is>
      </c>
      <c r="F238" s="112" t="inlineStr">
        <is>
          <t>7/8/25 SD - On hold - Decided not to proceed with weekly sessions, no further feedback provided</t>
        </is>
      </c>
    </row>
    <row r="239" ht="30" customHeight="1">
      <c r="A239" s="110" t="inlineStr">
        <is>
          <t>Jay</t>
        </is>
      </c>
      <c r="B239" s="111" t="n">
        <v>45962</v>
      </c>
      <c r="C239" s="110" t="inlineStr">
        <is>
          <t>Karen Westerlo</t>
        </is>
      </c>
      <c r="D239" s="110" t="inlineStr">
        <is>
          <t>Ceased Services</t>
        </is>
      </c>
      <c r="E239" s="110" t="inlineStr">
        <is>
          <t>NDIS</t>
        </is>
      </c>
      <c r="F239" s="112" t="inlineStr">
        <is>
          <t>14/8/24 SD - On hold - Reluctant for physio, would rather take tablets to get better instead of physio
10/11/25 SD - Offboarded - On hold for over 12 months</t>
        </is>
      </c>
    </row>
    <row r="240" ht="30" customHeight="1">
      <c r="A240" s="110" t="inlineStr">
        <is>
          <t>Stephanie</t>
        </is>
      </c>
      <c r="B240" s="111" t="n">
        <v>45962</v>
      </c>
      <c r="C240" s="110" t="inlineStr">
        <is>
          <t>Merlyn Atkinson</t>
        </is>
      </c>
      <c r="D240" s="110" t="inlineStr">
        <is>
          <t>Ceased Services</t>
        </is>
      </c>
      <c r="E240" s="110" t="inlineStr">
        <is>
          <t>HC</t>
        </is>
      </c>
      <c r="F240" s="112" t="inlineStr">
        <is>
          <t>10/11/25 SD - Offboarded - On hold for over 12 months
29/5/24 SD - On hold - Having a break for the month of June</t>
        </is>
      </c>
    </row>
    <row r="241" ht="45" customHeight="1">
      <c r="A241" s="110" t="inlineStr">
        <is>
          <t>Stephanie</t>
        </is>
      </c>
      <c r="B241" s="111" t="n">
        <v>45962</v>
      </c>
      <c r="C241" s="110" t="inlineStr">
        <is>
          <t>Katrina Shepherd</t>
        </is>
      </c>
      <c r="D241" s="110" t="inlineStr">
        <is>
          <t>Ceased Services</t>
        </is>
      </c>
      <c r="E241" s="110" t="inlineStr">
        <is>
          <t>NDIS</t>
        </is>
      </c>
      <c r="F241" s="112" t="inlineStr">
        <is>
          <t>10/11/25 SD - Offboarded - On hold for over 12 months
18/4/24 SD - On hold - Found another physio in the meantime and providing telehealth appts. Going away for 5 weeks - will call to check our availability and if client wants to do F2F sessions</t>
        </is>
      </c>
    </row>
    <row r="242" ht="45" customHeight="1">
      <c r="A242" s="110" t="inlineStr">
        <is>
          <t>Raj</t>
        </is>
      </c>
      <c r="B242" s="111" t="n">
        <v>45962</v>
      </c>
      <c r="C242" s="110" t="inlineStr">
        <is>
          <t>Henk Kelly-Kabes</t>
        </is>
      </c>
      <c r="D242" s="110" t="inlineStr">
        <is>
          <t>Ceased Services</t>
        </is>
      </c>
      <c r="E242" s="110" t="inlineStr">
        <is>
          <t>Private</t>
        </is>
      </c>
      <c r="F242" s="112" t="inlineStr">
        <is>
          <t>10/11/25 SD - Offboarded - On hold for over 12 months
26/8/24 SD - On hold - he is in hospital but will be discharged soon and he said he has been doing well with his exercises. we can check in with him in a few weeks to see if he needs further physio</t>
        </is>
      </c>
    </row>
    <row r="243" ht="30" customHeight="1">
      <c r="A243" s="110" t="inlineStr">
        <is>
          <t>Alice</t>
        </is>
      </c>
      <c r="B243" s="111" t="n">
        <v>45962</v>
      </c>
      <c r="C243" s="110" t="inlineStr">
        <is>
          <t>Sandra Depetro</t>
        </is>
      </c>
      <c r="D243" s="110" t="inlineStr">
        <is>
          <t>Ceased Services</t>
        </is>
      </c>
      <c r="E243" s="110" t="inlineStr">
        <is>
          <t>Private</t>
        </is>
      </c>
      <c r="F243" s="112" t="inlineStr">
        <is>
          <t>10/11/25 SD - Offboarded - On hold for over 12 months
21/8/24 SD - On hold - Getting some tests done</t>
        </is>
      </c>
    </row>
    <row r="244" ht="30" customHeight="1">
      <c r="A244" s="110" t="inlineStr">
        <is>
          <t>Jay</t>
        </is>
      </c>
      <c r="B244" s="111" t="n">
        <v>45962</v>
      </c>
      <c r="C244" s="110" t="inlineStr">
        <is>
          <t>Juliette Inchincoli</t>
        </is>
      </c>
      <c r="D244" s="110" t="inlineStr">
        <is>
          <t>Ceased Services</t>
        </is>
      </c>
      <c r="E244" s="110" t="inlineStr">
        <is>
          <t>NDIS</t>
        </is>
      </c>
      <c r="F244" s="112" t="inlineStr">
        <is>
          <t>10/11/25 SD - On hold for over 12 months
14/8/24 SD - On hold - N/A for September</t>
        </is>
      </c>
    </row>
    <row r="245" ht="30" customHeight="1">
      <c r="A245" s="110" t="inlineStr">
        <is>
          <t>Raj</t>
        </is>
      </c>
      <c r="B245" s="111" t="n">
        <v>45962</v>
      </c>
      <c r="C245" s="110" t="inlineStr">
        <is>
          <t>Trevor Lewis</t>
        </is>
      </c>
      <c r="D245" s="110" t="inlineStr">
        <is>
          <t>Ceased Services</t>
        </is>
      </c>
      <c r="E245" s="110" t="inlineStr">
        <is>
          <t>Private</t>
        </is>
      </c>
      <c r="F245" s="112" t="inlineStr">
        <is>
          <t>10/11/25 SD - Offboarded - On hold for over 12 months
15/7/24 SD - On hold - In hospital</t>
        </is>
      </c>
    </row>
    <row r="246">
      <c r="A246" s="110" t="inlineStr">
        <is>
          <t>Alice</t>
        </is>
      </c>
      <c r="B246" s="111" t="n">
        <v>45962</v>
      </c>
      <c r="C246" s="110" t="inlineStr">
        <is>
          <t>George Ciotti</t>
        </is>
      </c>
      <c r="D246" s="110" t="inlineStr">
        <is>
          <t>Ceased Services</t>
        </is>
      </c>
      <c r="E246" s="110" t="inlineStr">
        <is>
          <t>Private</t>
        </is>
      </c>
      <c r="F246" s="112" t="inlineStr">
        <is>
          <t xml:space="preserve">Client is happy with rehab result - stopped service 	</t>
        </is>
      </c>
    </row>
    <row r="247">
      <c r="A247" s="110" t="inlineStr">
        <is>
          <t>Alice</t>
        </is>
      </c>
      <c r="B247" s="111" t="n">
        <v>45962</v>
      </c>
      <c r="C247" s="110" t="inlineStr">
        <is>
          <t>Amanda Brown</t>
        </is>
      </c>
      <c r="D247" s="110" t="inlineStr">
        <is>
          <t>Ceased Services</t>
        </is>
      </c>
      <c r="E247" s="110" t="inlineStr">
        <is>
          <t>NDIS</t>
        </is>
      </c>
      <c r="F247" s="112" t="inlineStr">
        <is>
          <t>No future appts booked</t>
        </is>
      </c>
    </row>
    <row r="248">
      <c r="A248" s="110" t="inlineStr">
        <is>
          <t>Alice</t>
        </is>
      </c>
      <c r="B248" s="111" t="n">
        <v>45962</v>
      </c>
      <c r="C248" s="110" t="inlineStr">
        <is>
          <t>Heather Whittingham</t>
        </is>
      </c>
      <c r="D248" s="110" t="inlineStr">
        <is>
          <t>On Hold</t>
        </is>
      </c>
      <c r="E248" s="110" t="inlineStr">
        <is>
          <t>HC</t>
        </is>
      </c>
      <c r="F248" s="112" t="inlineStr">
        <is>
          <t>~8 weeks in nursing home</t>
        </is>
      </c>
    </row>
    <row r="249">
      <c r="A249" s="110" t="inlineStr">
        <is>
          <t>Alice</t>
        </is>
      </c>
      <c r="B249" s="111" t="n">
        <v>45962</v>
      </c>
      <c r="C249" s="110" t="inlineStr">
        <is>
          <t>Sayeeda Ashraf</t>
        </is>
      </c>
      <c r="D249" s="110" t="inlineStr">
        <is>
          <t>Ceased Services</t>
        </is>
      </c>
      <c r="E249" s="110" t="inlineStr">
        <is>
          <t>HC</t>
        </is>
      </c>
      <c r="F249" s="112" t="inlineStr">
        <is>
          <t>Seeing local physio</t>
        </is>
      </c>
    </row>
    <row r="250">
      <c r="A250" s="110" t="inlineStr">
        <is>
          <t>Jay</t>
        </is>
      </c>
      <c r="B250" s="111" t="n">
        <v>45962</v>
      </c>
      <c r="C250" s="110" t="inlineStr">
        <is>
          <t>Emma Grant</t>
        </is>
      </c>
      <c r="D250" s="110" t="inlineStr">
        <is>
          <t>Ceased Services</t>
        </is>
      </c>
      <c r="E250" s="110" t="inlineStr">
        <is>
          <t>Private</t>
        </is>
      </c>
      <c r="F250" s="112" t="inlineStr">
        <is>
          <t>On hold for over 12 months, no future appts booked</t>
        </is>
      </c>
    </row>
    <row r="251">
      <c r="A251" s="110" t="inlineStr">
        <is>
          <t>Simran</t>
        </is>
      </c>
      <c r="B251" s="111" t="n">
        <v>45962</v>
      </c>
      <c r="C251" s="110" t="inlineStr">
        <is>
          <t>Maria Violo</t>
        </is>
      </c>
      <c r="D251" s="110" t="inlineStr">
        <is>
          <t>On Hold</t>
        </is>
      </c>
      <c r="E251" s="110" t="inlineStr">
        <is>
          <t>HC</t>
        </is>
      </c>
      <c r="F251" s="113" t="inlineStr">
        <is>
          <t>daughter called to put on hold to have a break over the xmas period and resume next yr. Last appt will be next week 19/11</t>
        </is>
      </c>
    </row>
    <row r="252">
      <c r="A252" s="110" t="inlineStr">
        <is>
          <t>Jay</t>
        </is>
      </c>
      <c r="B252" s="111" t="n">
        <v>45962</v>
      </c>
      <c r="C252" s="110" t="inlineStr">
        <is>
          <t>Maria Nesci</t>
        </is>
      </c>
      <c r="D252" s="110" t="inlineStr">
        <is>
          <t>Ceased Services</t>
        </is>
      </c>
      <c r="E252" s="110" t="inlineStr">
        <is>
          <t>Private</t>
        </is>
      </c>
      <c r="F252" s="112" t="inlineStr">
        <is>
          <t>Seeing another physio</t>
        </is>
      </c>
    </row>
    <row r="253">
      <c r="A253" s="110" t="inlineStr">
        <is>
          <t>Jay</t>
        </is>
      </c>
      <c r="B253" s="111" t="n">
        <v>45962</v>
      </c>
      <c r="C253" s="110" t="inlineStr">
        <is>
          <t>Astrid Tetis</t>
        </is>
      </c>
      <c r="D253" s="110" t="inlineStr">
        <is>
          <t>Ceased Services</t>
        </is>
      </c>
      <c r="E253" s="110" t="inlineStr">
        <is>
          <t>Private</t>
        </is>
      </c>
      <c r="F253" s="112" t="inlineStr">
        <is>
          <t>No future appts booked</t>
        </is>
      </c>
    </row>
    <row r="254">
      <c r="A254" s="110" t="inlineStr">
        <is>
          <t>Jay</t>
        </is>
      </c>
      <c r="B254" s="111" t="n">
        <v>45962</v>
      </c>
      <c r="C254" s="110" t="inlineStr">
        <is>
          <t>Tendi Karys</t>
        </is>
      </c>
      <c r="D254" s="110" t="inlineStr">
        <is>
          <t>Ceased Services</t>
        </is>
      </c>
      <c r="E254" s="110" t="inlineStr">
        <is>
          <t>Private</t>
        </is>
      </c>
      <c r="F254" s="112" t="inlineStr">
        <is>
          <t>No future appts booked</t>
        </is>
      </c>
    </row>
    <row r="255">
      <c r="A255" s="110" t="inlineStr">
        <is>
          <t>Jay</t>
        </is>
      </c>
      <c r="B255" s="111" t="n">
        <v>45962</v>
      </c>
      <c r="C255" s="110" t="inlineStr">
        <is>
          <t>Fayzi El-Nachar</t>
        </is>
      </c>
      <c r="D255" s="110" t="inlineStr">
        <is>
          <t>Ceased Services</t>
        </is>
      </c>
      <c r="E255" s="110" t="inlineStr">
        <is>
          <t>Private</t>
        </is>
      </c>
      <c r="F255" s="112" t="inlineStr">
        <is>
          <t>No future appts, referred to GP</t>
        </is>
      </c>
    </row>
    <row r="256">
      <c r="A256" s="110" t="inlineStr">
        <is>
          <t>Chris</t>
        </is>
      </c>
      <c r="B256" s="111" t="n">
        <v>45962</v>
      </c>
      <c r="C256" s="110" t="inlineStr">
        <is>
          <t>Lucy Tsaltas</t>
        </is>
      </c>
      <c r="D256" s="110" t="inlineStr">
        <is>
          <t>Ceased Services</t>
        </is>
      </c>
      <c r="E256" s="110" t="inlineStr">
        <is>
          <t>Private</t>
        </is>
      </c>
      <c r="F256" s="112" t="inlineStr">
        <is>
          <t>Used all EPC sessions</t>
        </is>
      </c>
    </row>
    <row r="257">
      <c r="A257" s="110" t="inlineStr">
        <is>
          <t>Chris</t>
        </is>
      </c>
      <c r="B257" s="111" t="n">
        <v>45962</v>
      </c>
      <c r="C257" s="110" t="inlineStr">
        <is>
          <t>Hamad Malik</t>
        </is>
      </c>
      <c r="D257" s="110" t="inlineStr">
        <is>
          <t>Ceased Services</t>
        </is>
      </c>
      <c r="E257" s="110" t="inlineStr">
        <is>
          <t>Private</t>
        </is>
      </c>
      <c r="F257" s="112" t="inlineStr">
        <is>
          <t>No future appts booked</t>
        </is>
      </c>
    </row>
    <row r="258">
      <c r="A258" s="110" t="inlineStr">
        <is>
          <t>Chris</t>
        </is>
      </c>
      <c r="B258" s="111" t="n">
        <v>45962</v>
      </c>
      <c r="C258" s="110" t="inlineStr">
        <is>
          <t>Stuart Emmerson</t>
        </is>
      </c>
      <c r="D258" s="110" t="inlineStr">
        <is>
          <t>Ceased Services</t>
        </is>
      </c>
      <c r="E258" s="110" t="inlineStr">
        <is>
          <t>Private</t>
        </is>
      </c>
      <c r="F258" s="112" t="inlineStr">
        <is>
          <t>Feeling better</t>
        </is>
      </c>
    </row>
    <row r="259">
      <c r="A259" s="110" t="inlineStr">
        <is>
          <t>Chris</t>
        </is>
      </c>
      <c r="B259" s="111" t="n">
        <v>45962</v>
      </c>
      <c r="C259" s="110" t="inlineStr">
        <is>
          <t>Marlene Delzoppo</t>
        </is>
      </c>
      <c r="D259" s="110" t="inlineStr">
        <is>
          <t>Ceased Services</t>
        </is>
      </c>
      <c r="E259" s="110" t="inlineStr">
        <is>
          <t>Private</t>
        </is>
      </c>
      <c r="F259" s="112" t="inlineStr">
        <is>
          <t>No future appts booked</t>
        </is>
      </c>
    </row>
    <row r="260">
      <c r="A260" s="110" t="inlineStr">
        <is>
          <t>Chris</t>
        </is>
      </c>
      <c r="B260" s="111" t="n">
        <v>45962</v>
      </c>
      <c r="C260" s="110" t="inlineStr">
        <is>
          <t>Rachelina Costanzo</t>
        </is>
      </c>
      <c r="D260" s="110" t="inlineStr">
        <is>
          <t>Ceased Services</t>
        </is>
      </c>
      <c r="E260" s="110" t="inlineStr">
        <is>
          <t>Private</t>
        </is>
      </c>
      <c r="F260" s="112" t="inlineStr">
        <is>
          <t>No future appts booked</t>
        </is>
      </c>
    </row>
    <row r="261">
      <c r="A261" s="110" t="inlineStr">
        <is>
          <t>Chris</t>
        </is>
      </c>
      <c r="B261" s="111" t="n">
        <v>45962</v>
      </c>
      <c r="C261" s="110" t="inlineStr">
        <is>
          <t>Omar Diab</t>
        </is>
      </c>
      <c r="D261" s="110" t="inlineStr">
        <is>
          <t>On Hold</t>
        </is>
      </c>
      <c r="E261" s="110" t="inlineStr">
        <is>
          <t>NDIS</t>
        </is>
      </c>
      <c r="F261" s="112" t="inlineStr">
        <is>
          <t>On holidays until sometime in Jan</t>
        </is>
      </c>
    </row>
    <row r="262">
      <c r="A262" s="110" t="inlineStr">
        <is>
          <t>Simran</t>
        </is>
      </c>
      <c r="B262" s="111" t="n">
        <v>45962</v>
      </c>
      <c r="C262" s="110" t="inlineStr">
        <is>
          <t>Alan Thomson</t>
        </is>
      </c>
      <c r="D262" s="110" t="inlineStr">
        <is>
          <t>Ceased Services</t>
        </is>
      </c>
      <c r="E262" s="110" t="inlineStr">
        <is>
          <t>HC</t>
        </is>
      </c>
      <c r="F262" s="113" t="inlineStr">
        <is>
          <t>via text message mentioned has cancelled all appts</t>
        </is>
      </c>
    </row>
    <row r="263">
      <c r="A263" s="110" t="inlineStr">
        <is>
          <t>Simran</t>
        </is>
      </c>
      <c r="B263" s="111" t="n">
        <v>45962</v>
      </c>
      <c r="C263" s="110" t="inlineStr">
        <is>
          <t>Margaret Bonello</t>
        </is>
      </c>
      <c r="D263" s="110" t="inlineStr">
        <is>
          <t>On Hold</t>
        </is>
      </c>
      <c r="E263" s="110" t="inlineStr">
        <is>
          <t>HC</t>
        </is>
      </c>
      <c r="F263" s="113" t="inlineStr">
        <is>
          <t>she's actually just wanting to go to the gym with one of our support workers instead</t>
        </is>
      </c>
    </row>
    <row r="264" ht="45" customHeight="1">
      <c r="A264" s="110" t="inlineStr">
        <is>
          <t>Beth</t>
        </is>
      </c>
      <c r="B264" s="111" t="n">
        <v>45962</v>
      </c>
      <c r="C264" s="110" t="inlineStr">
        <is>
          <t>Pam Tanzen</t>
        </is>
      </c>
      <c r="D264" s="110" t="inlineStr">
        <is>
          <t>On Hold</t>
        </is>
      </c>
      <c r="E264" s="110" t="inlineStr">
        <is>
          <t>HC</t>
        </is>
      </c>
      <c r="F264" s="115" t="inlineStr">
        <is>
          <t>Donna called to say she def asked us to put all services on hold, Pam T is still in hosp and her next ax for discharge will be on 20 Nov and then she will likely go into respite and they will check if she can have physio funded while shes in respite</t>
        </is>
      </c>
    </row>
    <row r="265">
      <c r="A265" s="110" t="inlineStr">
        <is>
          <t>Simran</t>
        </is>
      </c>
      <c r="B265" s="111" t="n">
        <v>45962</v>
      </c>
      <c r="C265" s="110" t="inlineStr">
        <is>
          <t>Heather Mennon</t>
        </is>
      </c>
      <c r="D265" s="110" t="inlineStr">
        <is>
          <t>On Hold</t>
        </is>
      </c>
      <c r="E265" s="110" t="inlineStr">
        <is>
          <t>HC</t>
        </is>
      </c>
      <c r="F265" s="117" t="inlineStr">
        <is>
          <t>Please cancel physio sessions with Heather due to heather wanting to have break from services.</t>
        </is>
      </c>
    </row>
    <row r="266">
      <c r="A266" s="110" t="inlineStr">
        <is>
          <t>Jay</t>
        </is>
      </c>
      <c r="B266" s="111" t="n">
        <v>45962</v>
      </c>
      <c r="C266" s="110" t="inlineStr">
        <is>
          <t>Raffaela Caruso</t>
        </is>
      </c>
      <c r="D266" s="110" t="inlineStr">
        <is>
          <t>On Hold</t>
        </is>
      </c>
      <c r="E266" s="110" t="inlineStr">
        <is>
          <t>HC</t>
        </is>
      </c>
      <c r="F266" s="113" t="inlineStr">
        <is>
          <t>declined initial appt, advised to put on hold</t>
        </is>
      </c>
    </row>
    <row r="267">
      <c r="A267" s="110" t="inlineStr">
        <is>
          <t>Beth</t>
        </is>
      </c>
      <c r="B267" s="111" t="n">
        <v>45962</v>
      </c>
      <c r="C267" s="110" t="inlineStr">
        <is>
          <t>Carole Welsford</t>
        </is>
      </c>
      <c r="D267" s="110" t="inlineStr">
        <is>
          <t>On Hold</t>
        </is>
      </c>
      <c r="E267" s="110" t="inlineStr">
        <is>
          <t>HC</t>
        </is>
      </c>
      <c r="F267" s="113" t="inlineStr">
        <is>
          <t>still in hospital then off to respite</t>
        </is>
      </c>
    </row>
    <row r="268">
      <c r="A268" s="110" t="inlineStr">
        <is>
          <t>Felina</t>
        </is>
      </c>
      <c r="B268" s="111" t="n">
        <v>45962</v>
      </c>
      <c r="C268" s="110" t="inlineStr">
        <is>
          <t>Roy Giesemann</t>
        </is>
      </c>
      <c r="D268" s="110" t="inlineStr">
        <is>
          <t>Ceased Services</t>
        </is>
      </c>
      <c r="E268" s="110" t="inlineStr">
        <is>
          <t>NDIS</t>
        </is>
      </c>
      <c r="F268" s="112" t="inlineStr">
        <is>
          <t>No funding</t>
        </is>
      </c>
    </row>
    <row r="269">
      <c r="A269" s="110" t="inlineStr">
        <is>
          <t>Alice</t>
        </is>
      </c>
      <c r="B269" s="111" t="n">
        <v>45962</v>
      </c>
      <c r="C269" s="110" t="inlineStr">
        <is>
          <t>Lina Balzano</t>
        </is>
      </c>
      <c r="D269" s="110" t="inlineStr">
        <is>
          <t>On Hold</t>
        </is>
      </c>
      <c r="E269" s="110" t="inlineStr">
        <is>
          <t>Private</t>
        </is>
      </c>
      <c r="F269" s="113" t="inlineStr">
        <is>
          <t>waiting for new epc then will resume next year</t>
        </is>
      </c>
    </row>
    <row r="270">
      <c r="A270" s="110" t="inlineStr">
        <is>
          <t>Shirley</t>
        </is>
      </c>
      <c r="B270" s="111" t="n">
        <v>45962</v>
      </c>
      <c r="C270" s="110" t="inlineStr">
        <is>
          <t>Shamsi Faradji</t>
        </is>
      </c>
      <c r="D270" s="110" t="inlineStr">
        <is>
          <t>On Hold</t>
        </is>
      </c>
      <c r="E270" s="110" t="inlineStr">
        <is>
          <t>Private</t>
        </is>
      </c>
      <c r="F270" s="113" t="inlineStr">
        <is>
          <t>Shamsi is in too much pain since last session and her doctor has informed her not to continue physiotherapy until it improves.</t>
        </is>
      </c>
    </row>
    <row r="271">
      <c r="A271" s="110" t="inlineStr">
        <is>
          <t>Elizabeth</t>
        </is>
      </c>
      <c r="B271" s="111" t="n">
        <v>45962</v>
      </c>
      <c r="C271" s="110" t="inlineStr">
        <is>
          <t>Mohammad Faruk</t>
        </is>
      </c>
      <c r="D271" s="110" t="inlineStr">
        <is>
          <t>On Hold</t>
        </is>
      </c>
      <c r="E271" s="110" t="inlineStr">
        <is>
          <t>NDIS</t>
        </is>
      </c>
      <c r="F271" s="112" t="inlineStr">
        <is>
          <t>awaiting plan review outcome. asked us to check in 2nd week of dec</t>
        </is>
      </c>
    </row>
  </sheetData>
  <conditionalFormatting sqref="F44">
    <cfRule type="expression" priority="1" dxfId="23">
      <formula>$T44="Yes"</formula>
    </cfRule>
  </conditionalFormatting>
  <dataValidations count="4">
    <dataValidation sqref="D1:D151 D153:D1048576" showDropDown="0" showInputMessage="1" showErrorMessage="1" allowBlank="1" type="list">
      <formula1>"On Hold, Ceased Services"</formula1>
    </dataValidation>
    <dataValidation sqref="B1:B151 B153:B1048576" showDropDown="0" showInputMessage="1" showErrorMessage="1" allowBlank="1"/>
    <dataValidation sqref="E1:E151 E153:E1048576" showDropDown="0" showInputMessage="1" showErrorMessage="1" allowBlank="1" type="list">
      <formula1>"NDIS, HC, TAC, Workcover, Private"</formula1>
    </dataValidation>
    <dataValidation sqref="A1:A151 A153:A174 A176:A1048576" showDropDown="0" showInputMessage="1" showErrorMessage="1" allowBlank="1" type="list">
      <formula1>$I:$I</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32"/>
  <sheetViews>
    <sheetView workbookViewId="0">
      <selection activeCell="F36" sqref="F36"/>
    </sheetView>
  </sheetViews>
  <sheetFormatPr baseColWidth="8" defaultRowHeight="15"/>
  <cols>
    <col width="14.5703125" customWidth="1" min="1" max="1"/>
    <col width="17" customWidth="1" min="3" max="3"/>
  </cols>
  <sheetData>
    <row r="1">
      <c r="A1" s="113" t="inlineStr">
        <is>
          <t>Team Member</t>
        </is>
      </c>
      <c r="B1" s="113" t="inlineStr">
        <is>
          <t>FTE</t>
        </is>
      </c>
      <c r="C1" s="113" t="inlineStr">
        <is>
          <t>Team</t>
        </is>
      </c>
      <c r="D1" s="88" t="inlineStr">
        <is>
          <t>Jan</t>
        </is>
      </c>
      <c r="E1" s="88" t="inlineStr">
        <is>
          <t>Feb</t>
        </is>
      </c>
      <c r="F1" s="88" t="inlineStr">
        <is>
          <t>Mar</t>
        </is>
      </c>
      <c r="G1" s="88" t="inlineStr">
        <is>
          <t>Apr</t>
        </is>
      </c>
      <c r="H1" s="88" t="inlineStr">
        <is>
          <t>May</t>
        </is>
      </c>
      <c r="I1" s="88" t="inlineStr">
        <is>
          <t>June</t>
        </is>
      </c>
      <c r="J1" s="88" t="inlineStr">
        <is>
          <t>July</t>
        </is>
      </c>
      <c r="K1" s="88" t="inlineStr">
        <is>
          <t>Aug</t>
        </is>
      </c>
      <c r="L1" s="88" t="inlineStr">
        <is>
          <t>Sept</t>
        </is>
      </c>
      <c r="M1" s="88" t="inlineStr">
        <is>
          <t>Oct</t>
        </is>
      </c>
      <c r="N1" s="88" t="inlineStr">
        <is>
          <t>Nov</t>
        </is>
      </c>
      <c r="O1" s="88" t="inlineStr">
        <is>
          <t>Dec</t>
        </is>
      </c>
    </row>
    <row r="2">
      <c r="A2" s="156" t="inlineStr">
        <is>
          <t>Marco</t>
        </is>
      </c>
      <c r="B2" s="42" t="n">
        <v>1</v>
      </c>
      <c r="C2" s="162" t="inlineStr">
        <is>
          <t>Physio_North</t>
        </is>
      </c>
      <c r="D2" s="40">
        <f>IFERROR(IF($C2="Physio_North",INDEX('KPI Dashboard North'!$C:$C,MATCH($A2,'KPI Dashboard North'!$B:$B,0)),IF($C2="Physio_South",INDEX('KPI Dashboard South'!$C:$C,MATCH($A2,'KPI Dashboard South'!$B:$B,0)),INDEX('KPI Dashboard OT'!$C:$C,MATCH($A2,'KPI Dashboard OT'!$B:$B,0))))*B2,"")</f>
        <v/>
      </c>
      <c r="E2" s="40">
        <f>IFERROR(IF($C2="Physio_North",INDEX('KPI Dashboard North'!$D:$D,MATCH($A2,'KPI Dashboard North'!$B:$B,0)),IF($C2="Physio_South",INDEX('KPI Dashboard South'!$D:$D,MATCH($A2,'KPI Dashboard South'!$B:$B,0)),INDEX('KPI Dashboard OT'!$D:$D,MATCH($A2,'KPI Dashboard OT'!$B:$B,0))))*$B2,"")</f>
        <v/>
      </c>
      <c r="F2" s="40">
        <f>IFERROR(IF($C2="Physio_North",INDEX('KPI Dashboard North'!$E:$E,MATCH($A2,'KPI Dashboard North'!$B:$B,0)),IF($C2="Physio_South",INDEX('KPI Dashboard South'!$E:$E,MATCH($A2,'KPI Dashboard South'!$B:$B,0)),INDEX('KPI Dashboard OT'!$E:$E,MATCH($A2,'KPI Dashboard OT'!$B:$B,0))))*$B2,"")</f>
        <v/>
      </c>
      <c r="G2" s="40">
        <f>IFERROR(IF($C2="Physio_North",INDEX('KPI Dashboard North'!$F:$F,MATCH($A2,'KPI Dashboard North'!$B:$B,0)),IF($C2="Physio_South",INDEX('KPI Dashboard South'!$F:$F,MATCH($A2,'KPI Dashboard South'!$B:$B,0)),INDEX('KPI Dashboard OT'!$F:$F,MATCH($A2,'KPI Dashboard OT'!$B:$B,0))))*$B2,"")</f>
        <v/>
      </c>
      <c r="H2" s="40">
        <f>IFERROR(IF($C2="Physio_North",INDEX('KPI Dashboard North'!$G:$G,MATCH($A2,'KPI Dashboard North'!$B:$B,0)),IF($C2="Physio_South",INDEX('KPI Dashboard South'!$G:$G,MATCH($A2,'KPI Dashboard South'!$B:$B,0)),INDEX('KPI Dashboard OT'!$G:$G,MATCH($A2,'KPI Dashboard OT'!$B:$B,0))))*$B2,"")</f>
        <v/>
      </c>
      <c r="I2" s="40">
        <f>IFERROR(IF($C2="Physio_North",INDEX('KPI Dashboard North'!$H:$H,MATCH($A2,'KPI Dashboard North'!$B:$B,0)),IF($C2="Physio_South",INDEX('KPI Dashboard South'!$H:$H,MATCH($A2,'KPI Dashboard South'!$B:$B,0)),INDEX('KPI Dashboard OT'!$H:$H,MATCH($A2,'KPI Dashboard OT'!$B:$B,0))))*$B2,"")</f>
        <v/>
      </c>
      <c r="J2" s="40">
        <f>IFERROR(IF($C2="Physio_North",INDEX('KPI Dashboard North'!$I:$I,MATCH($A2,'KPI Dashboard North'!$B:$B,0)),IF($C2="Physio_South",INDEX('KPI Dashboard South'!$I:$I,MATCH($A2,'KPI Dashboard South'!$B:$B,0)),INDEX('KPI Dashboard OT'!$I:$I,MATCH($A2,'KPI Dashboard OT'!$B:$B,0))))*$B2,"")</f>
        <v/>
      </c>
      <c r="K2" s="40">
        <f>IFERROR(IF($C2="Physio_North",INDEX('KPI Dashboard North'!$J:$J,MATCH($A2,'KPI Dashboard North'!$B:$B,0)),IF($C2="Physio_South",INDEX('KPI Dashboard South'!$J:$J,MATCH($A2,'KPI Dashboard South'!$B:$B,0)),INDEX('KPI Dashboard OT'!$J:$J,MATCH($A2,'KPI Dashboard OT'!$B:$B,0))))*$B2,"")</f>
        <v/>
      </c>
      <c r="L2" s="40">
        <f>IFERROR(IF($C2="Physio_North",INDEX('KPI Dashboard North'!$K:$K,MATCH($A2,'KPI Dashboard North'!$B:$B,0)),IF($C2="Physio_South",INDEX('KPI Dashboard South'!$K:$K,MATCH($A2,'KPI Dashboard South'!$B:$B,0)),INDEX('KPI Dashboard OT'!$K:$K,MATCH($A2,'KPI Dashboard OT'!$B:$B,0))))*$B2,"")</f>
        <v/>
      </c>
      <c r="M2" s="40">
        <f>IFERROR(IF($C2="Physio_North",INDEX('KPI Dashboard North'!$L:$L,MATCH($A2,'KPI Dashboard North'!$B:$B,0)),IF($C2="Physio_South",INDEX('KPI Dashboard South'!$L:$L,MATCH($A2,'KPI Dashboard South'!$B:$B,0)),INDEX('KPI Dashboard OT'!$L:$L,MATCH($A2,'KPI Dashboard OT'!$B:$B,0))))*$B2,"")</f>
        <v/>
      </c>
      <c r="N2" s="40">
        <f>IFERROR(IF($C2="Physio_North",INDEX('KPI Dashboard North'!$M:$M,MATCH($A2,'KPI Dashboard North'!$B:$B,0)),IF($C2="Physio_South",INDEX('KPI Dashboard South'!$M:$M,MATCH($A2,'KPI Dashboard South'!$B:$B,0)),INDEX('KPI Dashboard OT'!$M:$M,MATCH($A2,'KPI Dashboard OT'!$B:$B,0))))*$B2,"")</f>
        <v/>
      </c>
      <c r="O2" s="40">
        <f>IFERROR(IF($C2="Physio_North",INDEX('KPI Dashboard North'!$N:$N,MATCH($A2,'KPI Dashboard North'!$B:$B,0)),IF($C2="Physio_South",INDEX('KPI Dashboard South'!$N:$N,MATCH($A2,'KPI Dashboard South'!$B:$B,0)),INDEX('KPI Dashboard OT'!$N:$N,MATCH($A2,'KPI Dashboard OT'!$B:$B,0))))*$B2,"")</f>
        <v/>
      </c>
    </row>
    <row r="3">
      <c r="A3" s="157" t="inlineStr">
        <is>
          <t>Danny</t>
        </is>
      </c>
      <c r="B3" s="42" t="n">
        <v>0.4</v>
      </c>
      <c r="C3" s="163" t="inlineStr">
        <is>
          <t>Physio_North</t>
        </is>
      </c>
      <c r="D3" s="40">
        <f>IFERROR(IF($C3="Physio_North",INDEX('KPI Dashboard North'!$C:$C,MATCH($A3,'KPI Dashboard North'!$B:$B,0)),IF($C3="Physio_South",INDEX('KPI Dashboard South'!$C:$C,MATCH($A3,'KPI Dashboard South'!$B:$B,0)),INDEX('KPI Dashboard OT'!$C:$C,MATCH($A3,'KPI Dashboard OT'!$B:$B,0))))*B3,"")</f>
        <v/>
      </c>
      <c r="E3" s="40">
        <f>IFERROR(IF($C3="Physio_North",INDEX('KPI Dashboard North'!$D:$D,MATCH($A3,'KPI Dashboard North'!$B:$B,0)),IF($C3="Physio_South",INDEX('KPI Dashboard South'!$D:$D,MATCH($A3,'KPI Dashboard South'!$B:$B,0)),INDEX('KPI Dashboard OT'!$D:$D,MATCH($A3,'KPI Dashboard OT'!$B:$B,0))))*$B3,"")</f>
        <v/>
      </c>
      <c r="F3" s="40">
        <f>IFERROR(IF($C3="Physio_North",INDEX('KPI Dashboard North'!$E:$E,MATCH($A3,'KPI Dashboard North'!$B:$B,0)),IF($C3="Physio_South",INDEX('KPI Dashboard South'!$E:$E,MATCH($A3,'KPI Dashboard South'!$B:$B,0)),INDEX('KPI Dashboard OT'!$E:$E,MATCH($A3,'KPI Dashboard OT'!$B:$B,0))))*$B3,"")</f>
        <v/>
      </c>
      <c r="G3" s="40">
        <f>IFERROR(IF($C3="Physio_North",INDEX('KPI Dashboard North'!$F:$F,MATCH($A3,'KPI Dashboard North'!$B:$B,0)),IF($C3="Physio_South",INDEX('KPI Dashboard South'!$F:$F,MATCH($A3,'KPI Dashboard South'!$B:$B,0)),INDEX('KPI Dashboard OT'!$F:$F,MATCH($A3,'KPI Dashboard OT'!$B:$B,0))))*$B3,"")</f>
        <v/>
      </c>
      <c r="H3" s="40">
        <f>IFERROR(IF($C3="Physio_North",INDEX('KPI Dashboard North'!$G:$G,MATCH($A3,'KPI Dashboard North'!$B:$B,0)),IF($C3="Physio_South",INDEX('KPI Dashboard South'!$G:$G,MATCH($A3,'KPI Dashboard South'!$B:$B,0)),INDEX('KPI Dashboard OT'!$G:$G,MATCH($A3,'KPI Dashboard OT'!$B:$B,0))))*$B3,"")</f>
        <v/>
      </c>
      <c r="I3" s="40">
        <f>IFERROR(IF($C3="Physio_North",INDEX('KPI Dashboard North'!$H:$H,MATCH($A3,'KPI Dashboard North'!$B:$B,0)),IF($C3="Physio_South",INDEX('KPI Dashboard South'!$H:$H,MATCH($A3,'KPI Dashboard South'!$B:$B,0)),INDEX('KPI Dashboard OT'!$H:$H,MATCH($A3,'KPI Dashboard OT'!$B:$B,0))))*$B3,"")</f>
        <v/>
      </c>
      <c r="J3" s="40">
        <f>IFERROR(IF($C3="Physio_North",INDEX('KPI Dashboard North'!$I:$I,MATCH($A3,'KPI Dashboard North'!$B:$B,0)),IF($C3="Physio_South",INDEX('KPI Dashboard South'!$I:$I,MATCH($A3,'KPI Dashboard South'!$B:$B,0)),INDEX('KPI Dashboard OT'!$I:$I,MATCH($A3,'KPI Dashboard OT'!$B:$B,0))))*$B3,"")</f>
        <v/>
      </c>
      <c r="K3" s="40">
        <f>IFERROR(IF($C3="Physio_North",INDEX('KPI Dashboard North'!$J:$J,MATCH($A3,'KPI Dashboard North'!$B:$B,0)),IF($C3="Physio_South",INDEX('KPI Dashboard South'!$J:$J,MATCH($A3,'KPI Dashboard South'!$B:$B,0)),INDEX('KPI Dashboard OT'!$J:$J,MATCH($A3,'KPI Dashboard OT'!$B:$B,0))))*$B3,"")</f>
        <v/>
      </c>
      <c r="L3" s="40">
        <f>IFERROR(IF($C3="Physio_North",INDEX('KPI Dashboard North'!$K:$K,MATCH($A3,'KPI Dashboard North'!$B:$B,0)),IF($C3="Physio_South",INDEX('KPI Dashboard South'!$K:$K,MATCH($A3,'KPI Dashboard South'!$B:$B,0)),INDEX('KPI Dashboard OT'!$K:$K,MATCH($A3,'KPI Dashboard OT'!$B:$B,0))))*$B3,"")</f>
        <v/>
      </c>
      <c r="M3" s="40">
        <f>IFERROR(IF($C3="Physio_North",INDEX('KPI Dashboard North'!$L:$L,MATCH($A3,'KPI Dashboard North'!$B:$B,0)),IF($C3="Physio_South",INDEX('KPI Dashboard South'!$L:$L,MATCH($A3,'KPI Dashboard South'!$B:$B,0)),INDEX('KPI Dashboard OT'!$L:$L,MATCH($A3,'KPI Dashboard OT'!$B:$B,0))))*$B3,"")</f>
        <v/>
      </c>
      <c r="N3" s="40">
        <f>IFERROR(IF($C3="Physio_North",INDEX('KPI Dashboard North'!$M:$M,MATCH($A3,'KPI Dashboard North'!$B:$B,0)),IF($C3="Physio_South",INDEX('KPI Dashboard South'!$M:$M,MATCH($A3,'KPI Dashboard South'!$B:$B,0)),INDEX('KPI Dashboard OT'!$M:$M,MATCH($A3,'KPI Dashboard OT'!$B:$B,0))))*$B3,"")</f>
        <v/>
      </c>
      <c r="O3" s="40">
        <f>IFERROR(IF($C3="Physio_North",INDEX('KPI Dashboard North'!$N:$N,MATCH($A3,'KPI Dashboard North'!$B:$B,0)),IF($C3="Physio_South",INDEX('KPI Dashboard South'!$N:$N,MATCH($A3,'KPI Dashboard South'!$B:$B,0)),INDEX('KPI Dashboard OT'!$N:$N,MATCH($A3,'KPI Dashboard OT'!$B:$B,0))))*$B3,"")</f>
        <v/>
      </c>
    </row>
    <row r="4">
      <c r="A4" s="157" t="inlineStr">
        <is>
          <t>Alice</t>
        </is>
      </c>
      <c r="B4" s="42" t="n">
        <v>1</v>
      </c>
      <c r="C4" s="163" t="inlineStr">
        <is>
          <t>Physio_North</t>
        </is>
      </c>
      <c r="D4" s="40">
        <f>IFERROR(IF($C4="Physio_North",INDEX('KPI Dashboard North'!$C:$C,MATCH($A4,'KPI Dashboard North'!$B:$B,0)),IF($C4="Physio_South",INDEX('KPI Dashboard South'!$C:$C,MATCH($A4,'KPI Dashboard South'!$B:$B,0)),INDEX('KPI Dashboard OT'!$C:$C,MATCH($A4,'KPI Dashboard OT'!$B:$B,0))))*B4,"")</f>
        <v/>
      </c>
      <c r="E4" s="40">
        <f>IFERROR(IF($C4="Physio_North",INDEX('KPI Dashboard North'!$D:$D,MATCH($A4,'KPI Dashboard North'!$B:$B,0)),IF($C4="Physio_South",INDEX('KPI Dashboard South'!$D:$D,MATCH($A4,'KPI Dashboard South'!$B:$B,0)),INDEX('KPI Dashboard OT'!$D:$D,MATCH($A4,'KPI Dashboard OT'!$B:$B,0))))*$B4,"")</f>
        <v/>
      </c>
      <c r="F4" s="40">
        <f>IFERROR(IF($C4="Physio_North",INDEX('KPI Dashboard North'!$E:$E,MATCH($A4,'KPI Dashboard North'!$B:$B,0)),IF($C4="Physio_South",INDEX('KPI Dashboard South'!$E:$E,MATCH($A4,'KPI Dashboard South'!$B:$B,0)),INDEX('KPI Dashboard OT'!$E:$E,MATCH($A4,'KPI Dashboard OT'!$B:$B,0))))*$B4,"")</f>
        <v/>
      </c>
      <c r="G4" s="40">
        <f>IFERROR(IF($C4="Physio_North",INDEX('KPI Dashboard North'!$F:$F,MATCH($A4,'KPI Dashboard North'!$B:$B,0)),IF($C4="Physio_South",INDEX('KPI Dashboard South'!$F:$F,MATCH($A4,'KPI Dashboard South'!$B:$B,0)),INDEX('KPI Dashboard OT'!$F:$F,MATCH($A4,'KPI Dashboard OT'!$B:$B,0))))*$B4,"")</f>
        <v/>
      </c>
      <c r="H4" s="40">
        <f>IFERROR(IF($C4="Physio_North",INDEX('KPI Dashboard North'!$G:$G,MATCH($A4,'KPI Dashboard North'!$B:$B,0)),IF($C4="Physio_South",INDEX('KPI Dashboard South'!$G:$G,MATCH($A4,'KPI Dashboard South'!$B:$B,0)),INDEX('KPI Dashboard OT'!$G:$G,MATCH($A4,'KPI Dashboard OT'!$B:$B,0))))*$B4,"")</f>
        <v/>
      </c>
      <c r="I4" s="40">
        <f>IFERROR(IF($C4="Physio_North",INDEX('KPI Dashboard North'!$H:$H,MATCH($A4,'KPI Dashboard North'!$B:$B,0)),IF($C4="Physio_South",INDEX('KPI Dashboard South'!$H:$H,MATCH($A4,'KPI Dashboard South'!$B:$B,0)),INDEX('KPI Dashboard OT'!$H:$H,MATCH($A4,'KPI Dashboard OT'!$B:$B,0))))*$B4,"")</f>
        <v/>
      </c>
      <c r="J4" s="40">
        <f>IFERROR(IF($C4="Physio_North",INDEX('KPI Dashboard North'!$I:$I,MATCH($A4,'KPI Dashboard North'!$B:$B,0)),IF($C4="Physio_South",INDEX('KPI Dashboard South'!$I:$I,MATCH($A4,'KPI Dashboard South'!$B:$B,0)),INDEX('KPI Dashboard OT'!$I:$I,MATCH($A4,'KPI Dashboard OT'!$B:$B,0))))*$B4,"")</f>
        <v/>
      </c>
      <c r="K4" s="40">
        <f>IFERROR(IF($C4="Physio_North",INDEX('KPI Dashboard North'!$J:$J,MATCH($A4,'KPI Dashboard North'!$B:$B,0)),IF($C4="Physio_South",INDEX('KPI Dashboard South'!$J:$J,MATCH($A4,'KPI Dashboard South'!$B:$B,0)),INDEX('KPI Dashboard OT'!$J:$J,MATCH($A4,'KPI Dashboard OT'!$B:$B,0))))*$B4,"")</f>
        <v/>
      </c>
      <c r="L4" s="40">
        <f>IFERROR(IF($C4="Physio_North",INDEX('KPI Dashboard North'!$K:$K,MATCH($A4,'KPI Dashboard North'!$B:$B,0)),IF($C4="Physio_South",INDEX('KPI Dashboard South'!$K:$K,MATCH($A4,'KPI Dashboard South'!$B:$B,0)),INDEX('KPI Dashboard OT'!$K:$K,MATCH($A4,'KPI Dashboard OT'!$B:$B,0))))*$B4,"")</f>
        <v/>
      </c>
      <c r="M4" s="40">
        <f>IFERROR(IF($C4="Physio_North",INDEX('KPI Dashboard North'!$L:$L,MATCH($A4,'KPI Dashboard North'!$B:$B,0)),IF($C4="Physio_South",INDEX('KPI Dashboard South'!$L:$L,MATCH($A4,'KPI Dashboard South'!$B:$B,0)),INDEX('KPI Dashboard OT'!$L:$L,MATCH($A4,'KPI Dashboard OT'!$B:$B,0))))*$B4,"")</f>
        <v/>
      </c>
      <c r="N4" s="40">
        <f>IFERROR(IF($C4="Physio_North",INDEX('KPI Dashboard North'!$M:$M,MATCH($A4,'KPI Dashboard North'!$B:$B,0)),IF($C4="Physio_South",INDEX('KPI Dashboard South'!$M:$M,MATCH($A4,'KPI Dashboard South'!$B:$B,0)),INDEX('KPI Dashboard OT'!$M:$M,MATCH($A4,'KPI Dashboard OT'!$B:$B,0))))*$B4,"")</f>
        <v/>
      </c>
      <c r="O4" s="40">
        <f>IFERROR(IF($C4="Physio_North",INDEX('KPI Dashboard North'!$N:$N,MATCH($A4,'KPI Dashboard North'!$B:$B,0)),IF($C4="Physio_South",INDEX('KPI Dashboard South'!$N:$N,MATCH($A4,'KPI Dashboard South'!$B:$B,0)),INDEX('KPI Dashboard OT'!$N:$N,MATCH($A4,'KPI Dashboard OT'!$B:$B,0))))*$B4,"")</f>
        <v/>
      </c>
    </row>
    <row r="5">
      <c r="A5" s="157" t="inlineStr">
        <is>
          <t>April</t>
        </is>
      </c>
      <c r="B5" s="42" t="n">
        <v>0.8</v>
      </c>
      <c r="C5" s="163" t="inlineStr">
        <is>
          <t>Physio_North</t>
        </is>
      </c>
      <c r="D5" s="40">
        <f>IFERROR(IF($C5="Physio_North",INDEX('KPI Dashboard North'!$C:$C,MATCH($A5,'KPI Dashboard North'!$B:$B,0)),IF($C5="Physio_South",INDEX('KPI Dashboard South'!$C:$C,MATCH($A5,'KPI Dashboard South'!$B:$B,0)),INDEX('KPI Dashboard OT'!$C:$C,MATCH($A5,'KPI Dashboard OT'!$B:$B,0))))*B5,"")</f>
        <v/>
      </c>
      <c r="E5" s="40">
        <f>IFERROR(IF($C5="Physio_North",INDEX('KPI Dashboard North'!$D:$D,MATCH($A5,'KPI Dashboard North'!$B:$B,0)),IF($C5="Physio_South",INDEX('KPI Dashboard South'!$D:$D,MATCH($A5,'KPI Dashboard South'!$B:$B,0)),INDEX('KPI Dashboard OT'!$D:$D,MATCH($A5,'KPI Dashboard OT'!$B:$B,0))))*$B5,"")</f>
        <v/>
      </c>
      <c r="F5" s="40">
        <f>IFERROR(IF($C5="Physio_North",INDEX('KPI Dashboard North'!$E:$E,MATCH($A5,'KPI Dashboard North'!$B:$B,0)),IF($C5="Physio_South",INDEX('KPI Dashboard South'!$E:$E,MATCH($A5,'KPI Dashboard South'!$B:$B,0)),INDEX('KPI Dashboard OT'!$E:$E,MATCH($A5,'KPI Dashboard OT'!$B:$B,0))))*$B5,"")</f>
        <v/>
      </c>
      <c r="G5" s="40">
        <f>IFERROR(IF($C5="Physio_North",INDEX('KPI Dashboard North'!$F:$F,MATCH($A5,'KPI Dashboard North'!$B:$B,0)),IF($C5="Physio_South",INDEX('KPI Dashboard South'!$F:$F,MATCH($A5,'KPI Dashboard South'!$B:$B,0)),INDEX('KPI Dashboard OT'!$F:$F,MATCH($A5,'KPI Dashboard OT'!$B:$B,0))))*$B5,"")</f>
        <v/>
      </c>
      <c r="H5" s="40">
        <f>IFERROR(IF($C5="Physio_North",INDEX('KPI Dashboard North'!$G:$G,MATCH($A5,'KPI Dashboard North'!$B:$B,0)),IF($C5="Physio_South",INDEX('KPI Dashboard South'!$G:$G,MATCH($A5,'KPI Dashboard South'!$B:$B,0)),INDEX('KPI Dashboard OT'!$G:$G,MATCH($A5,'KPI Dashboard OT'!$B:$B,0))))*$B5,"")</f>
        <v/>
      </c>
      <c r="I5" s="40">
        <f>IFERROR(IF($C5="Physio_North",INDEX('KPI Dashboard North'!$H:$H,MATCH($A5,'KPI Dashboard North'!$B:$B,0)),IF($C5="Physio_South",INDEX('KPI Dashboard South'!$H:$H,MATCH($A5,'KPI Dashboard South'!$B:$B,0)),INDEX('KPI Dashboard OT'!$H:$H,MATCH($A5,'KPI Dashboard OT'!$B:$B,0))))*$B5,"")</f>
        <v/>
      </c>
      <c r="J5" s="40">
        <f>IFERROR(IF($C5="Physio_North",INDEX('KPI Dashboard North'!$I:$I,MATCH($A5,'KPI Dashboard North'!$B:$B,0)),IF($C5="Physio_South",INDEX('KPI Dashboard South'!$I:$I,MATCH($A5,'KPI Dashboard South'!$B:$B,0)),INDEX('KPI Dashboard OT'!$I:$I,MATCH($A5,'KPI Dashboard OT'!$B:$B,0))))*$B5,"")</f>
        <v/>
      </c>
      <c r="K5" s="40">
        <f>IFERROR(IF($C5="Physio_North",INDEX('KPI Dashboard North'!$J:$J,MATCH($A5,'KPI Dashboard North'!$B:$B,0)),IF($C5="Physio_South",INDEX('KPI Dashboard South'!$J:$J,MATCH($A5,'KPI Dashboard South'!$B:$B,0)),INDEX('KPI Dashboard OT'!$J:$J,MATCH($A5,'KPI Dashboard OT'!$B:$B,0))))*$B5,"")</f>
        <v/>
      </c>
      <c r="L5" s="40">
        <f>IFERROR(IF($C5="Physio_North",INDEX('KPI Dashboard North'!$K:$K,MATCH($A5,'KPI Dashboard North'!$B:$B,0)),IF($C5="Physio_South",INDEX('KPI Dashboard South'!$K:$K,MATCH($A5,'KPI Dashboard South'!$B:$B,0)),INDEX('KPI Dashboard OT'!$K:$K,MATCH($A5,'KPI Dashboard OT'!$B:$B,0))))*$B5,"")</f>
        <v/>
      </c>
      <c r="M5" s="40">
        <f>IFERROR(IF($C5="Physio_North",INDEX('KPI Dashboard North'!$L:$L,MATCH($A5,'KPI Dashboard North'!$B:$B,0)),IF($C5="Physio_South",INDEX('KPI Dashboard South'!$L:$L,MATCH($A5,'KPI Dashboard South'!$B:$B,0)),INDEX('KPI Dashboard OT'!$L:$L,MATCH($A5,'KPI Dashboard OT'!$B:$B,0))))*$B5,"")</f>
        <v/>
      </c>
      <c r="N5" s="40">
        <f>IFERROR(IF($C5="Physio_North",INDEX('KPI Dashboard North'!$M:$M,MATCH($A5,'KPI Dashboard North'!$B:$B,0)),IF($C5="Physio_South",INDEX('KPI Dashboard South'!$M:$M,MATCH($A5,'KPI Dashboard South'!$B:$B,0)),INDEX('KPI Dashboard OT'!$M:$M,MATCH($A5,'KPI Dashboard OT'!$B:$B,0))))*$B5,"")</f>
        <v/>
      </c>
      <c r="O5" s="40">
        <f>IFERROR(IF($C5="Physio_North",INDEX('KPI Dashboard North'!$N:$N,MATCH($A5,'KPI Dashboard North'!$B:$B,0)),IF($C5="Physio_South",INDEX('KPI Dashboard South'!$N:$N,MATCH($A5,'KPI Dashboard South'!$B:$B,0)),INDEX('KPI Dashboard OT'!$N:$N,MATCH($A5,'KPI Dashboard OT'!$B:$B,0))))*$B5,"")</f>
        <v/>
      </c>
    </row>
    <row r="6">
      <c r="A6" s="157" t="inlineStr">
        <is>
          <t>Chris</t>
        </is>
      </c>
      <c r="B6" s="42" t="n">
        <v>1</v>
      </c>
      <c r="C6" s="163" t="inlineStr">
        <is>
          <t>Physio_North</t>
        </is>
      </c>
      <c r="D6" s="40">
        <f>IFERROR(IF($C6="Physio_North",INDEX('KPI Dashboard North'!$C:$C,MATCH($A6,'KPI Dashboard North'!$B:$B,0)),IF($C6="Physio_South",INDEX('KPI Dashboard South'!$C:$C,MATCH($A6,'KPI Dashboard South'!$B:$B,0)),INDEX('KPI Dashboard OT'!$C:$C,MATCH($A6,'KPI Dashboard OT'!$B:$B,0))))*B6,"")</f>
        <v/>
      </c>
      <c r="E6" s="40">
        <f>IFERROR(IF($C6="Physio_North",INDEX('KPI Dashboard North'!$D:$D,MATCH($A6,'KPI Dashboard North'!$B:$B,0)),IF($C6="Physio_South",INDEX('KPI Dashboard South'!$D:$D,MATCH($A6,'KPI Dashboard South'!$B:$B,0)),INDEX('KPI Dashboard OT'!$D:$D,MATCH($A6,'KPI Dashboard OT'!$B:$B,0))))*$B6,"")</f>
        <v/>
      </c>
      <c r="F6" s="40">
        <f>IFERROR(IF($C6="Physio_North",INDEX('KPI Dashboard North'!$E:$E,MATCH($A6,'KPI Dashboard North'!$B:$B,0)),IF($C6="Physio_South",INDEX('KPI Dashboard South'!$E:$E,MATCH($A6,'KPI Dashboard South'!$B:$B,0)),INDEX('KPI Dashboard OT'!$E:$E,MATCH($A6,'KPI Dashboard OT'!$B:$B,0))))*$B6,"")</f>
        <v/>
      </c>
      <c r="G6" s="40">
        <f>IFERROR(IF($C6="Physio_North",INDEX('KPI Dashboard North'!$F:$F,MATCH($A6,'KPI Dashboard North'!$B:$B,0)),IF($C6="Physio_South",INDEX('KPI Dashboard South'!$F:$F,MATCH($A6,'KPI Dashboard South'!$B:$B,0)),INDEX('KPI Dashboard OT'!$F:$F,MATCH($A6,'KPI Dashboard OT'!$B:$B,0))))*$B6,"")</f>
        <v/>
      </c>
      <c r="H6" s="40">
        <f>IFERROR(IF($C6="Physio_North",INDEX('KPI Dashboard North'!$G:$G,MATCH($A6,'KPI Dashboard North'!$B:$B,0)),IF($C6="Physio_South",INDEX('KPI Dashboard South'!$G:$G,MATCH($A6,'KPI Dashboard South'!$B:$B,0)),INDEX('KPI Dashboard OT'!$G:$G,MATCH($A6,'KPI Dashboard OT'!$B:$B,0))))*$B6,"")</f>
        <v/>
      </c>
      <c r="I6" s="40">
        <f>IFERROR(IF($C6="Physio_North",INDEX('KPI Dashboard North'!$H:$H,MATCH($A6,'KPI Dashboard North'!$B:$B,0)),IF($C6="Physio_South",INDEX('KPI Dashboard South'!$H:$H,MATCH($A6,'KPI Dashboard South'!$B:$B,0)),INDEX('KPI Dashboard OT'!$H:$H,MATCH($A6,'KPI Dashboard OT'!$B:$B,0))))*$B6,"")</f>
        <v/>
      </c>
      <c r="J6" s="40">
        <f>IFERROR(IF($C6="Physio_North",INDEX('KPI Dashboard North'!$I:$I,MATCH($A6,'KPI Dashboard North'!$B:$B,0)),IF($C6="Physio_South",INDEX('KPI Dashboard South'!$I:$I,MATCH($A6,'KPI Dashboard South'!$B:$B,0)),INDEX('KPI Dashboard OT'!$I:$I,MATCH($A6,'KPI Dashboard OT'!$B:$B,0))))*$B6,"")</f>
        <v/>
      </c>
      <c r="K6" s="40">
        <f>IFERROR(IF($C6="Physio_North",INDEX('KPI Dashboard North'!$J:$J,MATCH($A6,'KPI Dashboard North'!$B:$B,0)),IF($C6="Physio_South",INDEX('KPI Dashboard South'!$J:$J,MATCH($A6,'KPI Dashboard South'!$B:$B,0)),INDEX('KPI Dashboard OT'!$J:$J,MATCH($A6,'KPI Dashboard OT'!$B:$B,0))))*$B6,"")</f>
        <v/>
      </c>
      <c r="L6" s="40">
        <f>IFERROR(IF($C6="Physio_North",INDEX('KPI Dashboard North'!$K:$K,MATCH($A6,'KPI Dashboard North'!$B:$B,0)),IF($C6="Physio_South",INDEX('KPI Dashboard South'!$K:$K,MATCH($A6,'KPI Dashboard South'!$B:$B,0)),INDEX('KPI Dashboard OT'!$K:$K,MATCH($A6,'KPI Dashboard OT'!$B:$B,0))))*$B6,"")</f>
        <v/>
      </c>
      <c r="M6" s="40">
        <f>IFERROR(IF($C6="Physio_North",INDEX('KPI Dashboard North'!$L:$L,MATCH($A6,'KPI Dashboard North'!$B:$B,0)),IF($C6="Physio_South",INDEX('KPI Dashboard South'!$L:$L,MATCH($A6,'KPI Dashboard South'!$B:$B,0)),INDEX('KPI Dashboard OT'!$L:$L,MATCH($A6,'KPI Dashboard OT'!$B:$B,0))))*$B6,"")</f>
        <v/>
      </c>
      <c r="N6" s="40">
        <f>IFERROR(IF($C6="Physio_North",INDEX('KPI Dashboard North'!$M:$M,MATCH($A6,'KPI Dashboard North'!$B:$B,0)),IF($C6="Physio_South",INDEX('KPI Dashboard South'!$M:$M,MATCH($A6,'KPI Dashboard South'!$B:$B,0)),INDEX('KPI Dashboard OT'!$M:$M,MATCH($A6,'KPI Dashboard OT'!$B:$B,0))))*$B6,"")</f>
        <v/>
      </c>
      <c r="O6" s="40">
        <f>IFERROR(IF($C6="Physio_North",INDEX('KPI Dashboard North'!$N:$N,MATCH($A6,'KPI Dashboard North'!$B:$B,0)),IF($C6="Physio_South",INDEX('KPI Dashboard South'!$N:$N,MATCH($A6,'KPI Dashboard South'!$B:$B,0)),INDEX('KPI Dashboard OT'!$N:$N,MATCH($A6,'KPI Dashboard OT'!$B:$B,0))))*$B6,"")</f>
        <v/>
      </c>
    </row>
    <row r="7">
      <c r="A7" s="157" t="inlineStr">
        <is>
          <t>Emilie</t>
        </is>
      </c>
      <c r="B7" s="42" t="n">
        <v>1</v>
      </c>
      <c r="C7" s="163" t="inlineStr">
        <is>
          <t>Physio_North</t>
        </is>
      </c>
      <c r="D7" s="40">
        <f>IFERROR(IF($C7="Physio_North",INDEX('KPI Dashboard North'!$C:$C,MATCH($A7,'KPI Dashboard North'!$B:$B,0)),IF($C7="Physio_South",INDEX('KPI Dashboard South'!$C:$C,MATCH($A7,'KPI Dashboard South'!$B:$B,0)),INDEX('KPI Dashboard OT'!$C:$C,MATCH($A7,'KPI Dashboard OT'!$B:$B,0))))*B7,"")</f>
        <v/>
      </c>
      <c r="E7" s="40">
        <f>IFERROR(IF($C7="Physio_North",INDEX('KPI Dashboard North'!$D:$D,MATCH($A7,'KPI Dashboard North'!$B:$B,0)),IF($C7="Physio_South",INDEX('KPI Dashboard South'!$D:$D,MATCH($A7,'KPI Dashboard South'!$B:$B,0)),INDEX('KPI Dashboard OT'!$D:$D,MATCH($A7,'KPI Dashboard OT'!$B:$B,0))))*$B7,"")</f>
        <v/>
      </c>
      <c r="F7" s="40">
        <f>IFERROR(IF($C7="Physio_North",INDEX('KPI Dashboard North'!$E:$E,MATCH($A7,'KPI Dashboard North'!$B:$B,0)),IF($C7="Physio_South",INDEX('KPI Dashboard South'!$E:$E,MATCH($A7,'KPI Dashboard South'!$B:$B,0)),INDEX('KPI Dashboard OT'!$E:$E,MATCH($A7,'KPI Dashboard OT'!$B:$B,0))))*$B7,"")</f>
        <v/>
      </c>
      <c r="G7" s="40">
        <f>IFERROR(IF($C7="Physio_North",INDEX('KPI Dashboard North'!$F:$F,MATCH($A7,'KPI Dashboard North'!$B:$B,0)),IF($C7="Physio_South",INDEX('KPI Dashboard South'!$F:$F,MATCH($A7,'KPI Dashboard South'!$B:$B,0)),INDEX('KPI Dashboard OT'!$F:$F,MATCH($A7,'KPI Dashboard OT'!$B:$B,0))))*$B7,"")</f>
        <v/>
      </c>
      <c r="H7" s="40">
        <f>IFERROR(IF($C7="Physio_North",INDEX('KPI Dashboard North'!$G:$G,MATCH($A7,'KPI Dashboard North'!$B:$B,0)),IF($C7="Physio_South",INDEX('KPI Dashboard South'!$G:$G,MATCH($A7,'KPI Dashboard South'!$B:$B,0)),INDEX('KPI Dashboard OT'!$G:$G,MATCH($A7,'KPI Dashboard OT'!$B:$B,0))))*$B7,"")</f>
        <v/>
      </c>
      <c r="I7" s="40">
        <f>IFERROR(IF($C7="Physio_North",INDEX('KPI Dashboard North'!$H:$H,MATCH($A7,'KPI Dashboard North'!$B:$B,0)),IF($C7="Physio_South",INDEX('KPI Dashboard South'!$H:$H,MATCH($A7,'KPI Dashboard South'!$B:$B,0)),INDEX('KPI Dashboard OT'!$H:$H,MATCH($A7,'KPI Dashboard OT'!$B:$B,0))))*$B7,"")</f>
        <v/>
      </c>
      <c r="J7" s="40">
        <f>IFERROR(IF($C7="Physio_North",INDEX('KPI Dashboard North'!$I:$I,MATCH($A7,'KPI Dashboard North'!$B:$B,0)),IF($C7="Physio_South",INDEX('KPI Dashboard South'!$I:$I,MATCH($A7,'KPI Dashboard South'!$B:$B,0)),INDEX('KPI Dashboard OT'!$I:$I,MATCH($A7,'KPI Dashboard OT'!$B:$B,0))))*$B7,"")</f>
        <v/>
      </c>
      <c r="K7" s="40">
        <f>IFERROR(IF($C7="Physio_North",INDEX('KPI Dashboard North'!$J:$J,MATCH($A7,'KPI Dashboard North'!$B:$B,0)),IF($C7="Physio_South",INDEX('KPI Dashboard South'!$J:$J,MATCH($A7,'KPI Dashboard South'!$B:$B,0)),INDEX('KPI Dashboard OT'!$J:$J,MATCH($A7,'KPI Dashboard OT'!$B:$B,0))))*$B7,"")</f>
        <v/>
      </c>
      <c r="L7" s="40">
        <f>IFERROR(IF($C7="Physio_North",INDEX('KPI Dashboard North'!$K:$K,MATCH($A7,'KPI Dashboard North'!$B:$B,0)),IF($C7="Physio_South",INDEX('KPI Dashboard South'!$K:$K,MATCH($A7,'KPI Dashboard South'!$B:$B,0)),INDEX('KPI Dashboard OT'!$K:$K,MATCH($A7,'KPI Dashboard OT'!$B:$B,0))))*$B7,"")</f>
        <v/>
      </c>
      <c r="M7" s="40">
        <f>IFERROR(IF($C7="Physio_North",INDEX('KPI Dashboard North'!$L:$L,MATCH($A7,'KPI Dashboard North'!$B:$B,0)),IF($C7="Physio_South",INDEX('KPI Dashboard South'!$L:$L,MATCH($A7,'KPI Dashboard South'!$B:$B,0)),INDEX('KPI Dashboard OT'!$L:$L,MATCH($A7,'KPI Dashboard OT'!$B:$B,0))))*$B7,"")</f>
        <v/>
      </c>
      <c r="N7" s="40">
        <f>IFERROR(IF($C7="Physio_North",INDEX('KPI Dashboard North'!$M:$M,MATCH($A7,'KPI Dashboard North'!$B:$B,0)),IF($C7="Physio_South",INDEX('KPI Dashboard South'!$M:$M,MATCH($A7,'KPI Dashboard South'!$B:$B,0)),INDEX('KPI Dashboard OT'!$M:$M,MATCH($A7,'KPI Dashboard OT'!$B:$B,0))))*$B7,"")</f>
        <v/>
      </c>
      <c r="O7" s="40">
        <f>IFERROR(IF($C7="Physio_North",INDEX('KPI Dashboard North'!$N:$N,MATCH($A7,'KPI Dashboard North'!$B:$B,0)),IF($C7="Physio_South",INDEX('KPI Dashboard South'!$N:$N,MATCH($A7,'KPI Dashboard South'!$B:$B,0)),INDEX('KPI Dashboard OT'!$N:$N,MATCH($A7,'KPI Dashboard OT'!$B:$B,0))))*$B7,"")</f>
        <v/>
      </c>
    </row>
    <row r="8">
      <c r="A8" s="158" t="inlineStr">
        <is>
          <t>Eva</t>
        </is>
      </c>
      <c r="B8" s="42" t="n">
        <v>1</v>
      </c>
      <c r="C8" s="164" t="inlineStr">
        <is>
          <t>Physio_North</t>
        </is>
      </c>
      <c r="D8" s="40">
        <f>IFERROR(IF($C8="Physio_North",INDEX('KPI Dashboard North'!$C:$C,MATCH($A8,'KPI Dashboard North'!$B:$B,0)),IF($C8="Physio_South",INDEX('KPI Dashboard South'!$C:$C,MATCH($A8,'KPI Dashboard South'!$B:$B,0)),INDEX('KPI Dashboard OT'!$C:$C,MATCH($A8,'KPI Dashboard OT'!$B:$B,0))))*B8,"")</f>
        <v/>
      </c>
      <c r="E8" s="40">
        <f>IFERROR(IF($C8="Physio_North",INDEX('KPI Dashboard North'!$D:$D,MATCH($A8,'KPI Dashboard North'!$B:$B,0)),IF($C8="Physio_South",INDEX('KPI Dashboard South'!$D:$D,MATCH($A8,'KPI Dashboard South'!$B:$B,0)),INDEX('KPI Dashboard OT'!$D:$D,MATCH($A8,'KPI Dashboard OT'!$B:$B,0))))*$B8,"")</f>
        <v/>
      </c>
      <c r="F8" s="40">
        <f>IFERROR(IF($C8="Physio_North",INDEX('KPI Dashboard North'!$E:$E,MATCH($A8,'KPI Dashboard North'!$B:$B,0)),IF($C8="Physio_South",INDEX('KPI Dashboard South'!$E:$E,MATCH($A8,'KPI Dashboard South'!$B:$B,0)),INDEX('KPI Dashboard OT'!$E:$E,MATCH($A8,'KPI Dashboard OT'!$B:$B,0))))*$B8,"")</f>
        <v/>
      </c>
      <c r="G8" s="40">
        <f>IFERROR(IF($C8="Physio_North",INDEX('KPI Dashboard North'!$F:$F,MATCH($A8,'KPI Dashboard North'!$B:$B,0)),IF($C8="Physio_South",INDEX('KPI Dashboard South'!$F:$F,MATCH($A8,'KPI Dashboard South'!$B:$B,0)),INDEX('KPI Dashboard OT'!$F:$F,MATCH($A8,'KPI Dashboard OT'!$B:$B,0))))*$B8,"")</f>
        <v/>
      </c>
      <c r="H8" s="40">
        <f>IFERROR(IF($C8="Physio_North",INDEX('KPI Dashboard North'!$G:$G,MATCH($A8,'KPI Dashboard North'!$B:$B,0)),IF($C8="Physio_South",INDEX('KPI Dashboard South'!$G:$G,MATCH($A8,'KPI Dashboard South'!$B:$B,0)),INDEX('KPI Dashboard OT'!$G:$G,MATCH($A8,'KPI Dashboard OT'!$B:$B,0))))*$B8,"")</f>
        <v/>
      </c>
      <c r="I8" s="40">
        <f>IFERROR(IF($C8="Physio_North",INDEX('KPI Dashboard North'!$H:$H,MATCH($A8,'KPI Dashboard North'!$B:$B,0)),IF($C8="Physio_South",INDEX('KPI Dashboard South'!$H:$H,MATCH($A8,'KPI Dashboard South'!$B:$B,0)),INDEX('KPI Dashboard OT'!$H:$H,MATCH($A8,'KPI Dashboard OT'!$B:$B,0))))*$B8,"")</f>
        <v/>
      </c>
      <c r="J8" s="40">
        <f>IFERROR(IF($C8="Physio_North",INDEX('KPI Dashboard North'!$I:$I,MATCH($A8,'KPI Dashboard North'!$B:$B,0)),IF($C8="Physio_South",INDEX('KPI Dashboard South'!$I:$I,MATCH($A8,'KPI Dashboard South'!$B:$B,0)),INDEX('KPI Dashboard OT'!$I:$I,MATCH($A8,'KPI Dashboard OT'!$B:$B,0))))*$B8,"")</f>
        <v/>
      </c>
      <c r="K8" s="40">
        <f>IFERROR(IF($C8="Physio_North",INDEX('KPI Dashboard North'!$J:$J,MATCH($A8,'KPI Dashboard North'!$B:$B,0)),IF($C8="Physio_South",INDEX('KPI Dashboard South'!$J:$J,MATCH($A8,'KPI Dashboard South'!$B:$B,0)),INDEX('KPI Dashboard OT'!$J:$J,MATCH($A8,'KPI Dashboard OT'!$B:$B,0))))*$B8,"")</f>
        <v/>
      </c>
      <c r="L8" s="40">
        <f>IFERROR(IF($C8="Physio_North",INDEX('KPI Dashboard North'!$K:$K,MATCH($A8,'KPI Dashboard North'!$B:$B,0)),IF($C8="Physio_South",INDEX('KPI Dashboard South'!$K:$K,MATCH($A8,'KPI Dashboard South'!$B:$B,0)),INDEX('KPI Dashboard OT'!$K:$K,MATCH($A8,'KPI Dashboard OT'!$B:$B,0))))*$B8,"")</f>
        <v/>
      </c>
      <c r="M8" s="40">
        <f>IFERROR(IF($C8="Physio_North",INDEX('KPI Dashboard North'!$L:$L,MATCH($A8,'KPI Dashboard North'!$B:$B,0)),IF($C8="Physio_South",INDEX('KPI Dashboard South'!$L:$L,MATCH($A8,'KPI Dashboard South'!$B:$B,0)),INDEX('KPI Dashboard OT'!$L:$L,MATCH($A8,'KPI Dashboard OT'!$B:$B,0))))*$B8,"")</f>
        <v/>
      </c>
      <c r="N8" s="40">
        <f>IFERROR(IF($C8="Physio_North",INDEX('KPI Dashboard North'!$M:$M,MATCH($A8,'KPI Dashboard North'!$B:$B,0)),IF($C8="Physio_South",INDEX('KPI Dashboard South'!$M:$M,MATCH($A8,'KPI Dashboard South'!$B:$B,0)),INDEX('KPI Dashboard OT'!$M:$M,MATCH($A8,'KPI Dashboard OT'!$B:$B,0))))*$B8,"")</f>
        <v/>
      </c>
      <c r="O8" s="40">
        <f>IFERROR(IF($C8="Physio_North",INDEX('KPI Dashboard North'!$N:$N,MATCH($A8,'KPI Dashboard North'!$B:$B,0)),IF($C8="Physio_South",INDEX('KPI Dashboard South'!$N:$N,MATCH($A8,'KPI Dashboard South'!$B:$B,0)),INDEX('KPI Dashboard OT'!$N:$N,MATCH($A8,'KPI Dashboard OT'!$B:$B,0))))*$B8,"")</f>
        <v/>
      </c>
    </row>
    <row r="9">
      <c r="A9" s="158" t="inlineStr">
        <is>
          <t>Jackson</t>
        </is>
      </c>
      <c r="B9" s="42" t="n">
        <v>0.6</v>
      </c>
      <c r="C9" s="164" t="inlineStr">
        <is>
          <t>Physio_North</t>
        </is>
      </c>
      <c r="D9" s="40">
        <f>IFERROR(IF($C9="Physio_North",INDEX('KPI Dashboard North'!$C:$C,MATCH($A9,'KPI Dashboard North'!$B:$B,0)),IF($C9="Physio_South",INDEX('KPI Dashboard South'!$C:$C,MATCH($A9,'KPI Dashboard South'!$B:$B,0)),INDEX('KPI Dashboard OT'!$C:$C,MATCH($A9,'KPI Dashboard OT'!$B:$B,0))))*B9,"")</f>
        <v/>
      </c>
      <c r="E9" s="40">
        <f>IFERROR(IF($C9="Physio_North",INDEX('KPI Dashboard North'!$D:$D,MATCH($A9,'KPI Dashboard North'!$B:$B,0)),IF($C9="Physio_South",INDEX('KPI Dashboard South'!$D:$D,MATCH($A9,'KPI Dashboard South'!$B:$B,0)),INDEX('KPI Dashboard OT'!$D:$D,MATCH($A9,'KPI Dashboard OT'!$B:$B,0))))*$B9,"")</f>
        <v/>
      </c>
      <c r="F9" s="40">
        <f>IFERROR(IF($C9="Physio_North",INDEX('KPI Dashboard North'!$E:$E,MATCH($A9,'KPI Dashboard North'!$B:$B,0)),IF($C9="Physio_South",INDEX('KPI Dashboard South'!$E:$E,MATCH($A9,'KPI Dashboard South'!$B:$B,0)),INDEX('KPI Dashboard OT'!$E:$E,MATCH($A9,'KPI Dashboard OT'!$B:$B,0))))*$B9,"")</f>
        <v/>
      </c>
      <c r="G9" s="40">
        <f>IFERROR(IF($C9="Physio_North",INDEX('KPI Dashboard North'!$F:$F,MATCH($A9,'KPI Dashboard North'!$B:$B,0)),IF($C9="Physio_South",INDEX('KPI Dashboard South'!$F:$F,MATCH($A9,'KPI Dashboard South'!$B:$B,0)),INDEX('KPI Dashboard OT'!$F:$F,MATCH($A9,'KPI Dashboard OT'!$B:$B,0))))*$B9,"")</f>
        <v/>
      </c>
      <c r="H9" s="40">
        <f>IFERROR(IF($C9="Physio_North",INDEX('KPI Dashboard North'!$G:$G,MATCH($A9,'KPI Dashboard North'!$B:$B,0)),IF($C9="Physio_South",INDEX('KPI Dashboard South'!$G:$G,MATCH($A9,'KPI Dashboard South'!$B:$B,0)),INDEX('KPI Dashboard OT'!$G:$G,MATCH($A9,'KPI Dashboard OT'!$B:$B,0))))*$B9,"")</f>
        <v/>
      </c>
      <c r="I9" s="40">
        <f>IFERROR(IF($C9="Physio_North",INDEX('KPI Dashboard North'!$H:$H,MATCH($A9,'KPI Dashboard North'!$B:$B,0)),IF($C9="Physio_South",INDEX('KPI Dashboard South'!$H:$H,MATCH($A9,'KPI Dashboard South'!$B:$B,0)),INDEX('KPI Dashboard OT'!$H:$H,MATCH($A9,'KPI Dashboard OT'!$B:$B,0))))*$B9,"")</f>
        <v/>
      </c>
      <c r="J9" s="40">
        <f>IFERROR(IF($C9="Physio_North",INDEX('KPI Dashboard North'!$I:$I,MATCH($A9,'KPI Dashboard North'!$B:$B,0)),IF($C9="Physio_South",INDEX('KPI Dashboard South'!$I:$I,MATCH($A9,'KPI Dashboard South'!$B:$B,0)),INDEX('KPI Dashboard OT'!$I:$I,MATCH($A9,'KPI Dashboard OT'!$B:$B,0))))*$B9,"")</f>
        <v/>
      </c>
      <c r="K9" s="40">
        <f>IFERROR(IF($C9="Physio_North",INDEX('KPI Dashboard North'!$J:$J,MATCH($A9,'KPI Dashboard North'!$B:$B,0)),IF($C9="Physio_South",INDEX('KPI Dashboard South'!$J:$J,MATCH($A9,'KPI Dashboard South'!$B:$B,0)),INDEX('KPI Dashboard OT'!$J:$J,MATCH($A9,'KPI Dashboard OT'!$B:$B,0))))*$B9,"")</f>
        <v/>
      </c>
      <c r="L9" s="40">
        <f>IFERROR(IF($C9="Physio_North",INDEX('KPI Dashboard North'!$K:$K,MATCH($A9,'KPI Dashboard North'!$B:$B,0)),IF($C9="Physio_South",INDEX('KPI Dashboard South'!$K:$K,MATCH($A9,'KPI Dashboard South'!$B:$B,0)),INDEX('KPI Dashboard OT'!$K:$K,MATCH($A9,'KPI Dashboard OT'!$B:$B,0))))*$B9,"")</f>
        <v/>
      </c>
      <c r="M9" s="40">
        <f>IFERROR(IF($C9="Physio_North",INDEX('KPI Dashboard North'!$L:$L,MATCH($A9,'KPI Dashboard North'!$B:$B,0)),IF($C9="Physio_South",INDEX('KPI Dashboard South'!$L:$L,MATCH($A9,'KPI Dashboard South'!$B:$B,0)),INDEX('KPI Dashboard OT'!$L:$L,MATCH($A9,'KPI Dashboard OT'!$B:$B,0))))*$B9,"")</f>
        <v/>
      </c>
      <c r="N9" s="40">
        <f>IFERROR(IF($C9="Physio_North",INDEX('KPI Dashboard North'!$M:$M,MATCH($A9,'KPI Dashboard North'!$B:$B,0)),IF($C9="Physio_South",INDEX('KPI Dashboard South'!$M:$M,MATCH($A9,'KPI Dashboard South'!$B:$B,0)),INDEX('KPI Dashboard OT'!$M:$M,MATCH($A9,'KPI Dashboard OT'!$B:$B,0))))*$B9,"")</f>
        <v/>
      </c>
      <c r="O9" s="40">
        <f>IFERROR(IF($C9="Physio_North",INDEX('KPI Dashboard North'!$N:$N,MATCH($A9,'KPI Dashboard North'!$B:$B,0)),IF($C9="Physio_South",INDEX('KPI Dashboard South'!$N:$N,MATCH($A9,'KPI Dashboard South'!$B:$B,0)),INDEX('KPI Dashboard OT'!$N:$N,MATCH($A9,'KPI Dashboard OT'!$B:$B,0))))*$B9,"")</f>
        <v/>
      </c>
    </row>
    <row r="10">
      <c r="A10" s="158" t="inlineStr">
        <is>
          <t>Jay</t>
        </is>
      </c>
      <c r="B10" s="42" t="n">
        <v>1</v>
      </c>
      <c r="C10" s="164" t="inlineStr">
        <is>
          <t>Physio_North</t>
        </is>
      </c>
      <c r="D10" s="40">
        <f>IFERROR(IF($C10="Physio_North",INDEX('KPI Dashboard North'!$C:$C,MATCH($A10,'KPI Dashboard North'!$B:$B,0)),IF($C10="Physio_South",INDEX('KPI Dashboard South'!$C:$C,MATCH($A10,'KPI Dashboard South'!$B:$B,0)),INDEX('KPI Dashboard OT'!$C:$C,MATCH($A10,'KPI Dashboard OT'!$B:$B,0))))*B10,"")</f>
        <v/>
      </c>
      <c r="E10" s="40">
        <f>IFERROR(IF($C10="Physio_North",INDEX('KPI Dashboard North'!$D:$D,MATCH($A10,'KPI Dashboard North'!$B:$B,0)),IF($C10="Physio_South",INDEX('KPI Dashboard South'!$D:$D,MATCH($A10,'KPI Dashboard South'!$B:$B,0)),INDEX('KPI Dashboard OT'!$D:$D,MATCH($A10,'KPI Dashboard OT'!$B:$B,0))))*$B10,"")</f>
        <v/>
      </c>
      <c r="F10" s="40">
        <f>IFERROR(IF($C10="Physio_North",INDEX('KPI Dashboard North'!$E:$E,MATCH($A10,'KPI Dashboard North'!$B:$B,0)),IF($C10="Physio_South",INDEX('KPI Dashboard South'!$E:$E,MATCH($A10,'KPI Dashboard South'!$B:$B,0)),INDEX('KPI Dashboard OT'!$E:$E,MATCH($A10,'KPI Dashboard OT'!$B:$B,0))))*$B10,"")</f>
        <v/>
      </c>
      <c r="G10" s="40">
        <f>IFERROR(IF($C10="Physio_North",INDEX('KPI Dashboard North'!$F:$F,MATCH($A10,'KPI Dashboard North'!$B:$B,0)),IF($C10="Physio_South",INDEX('KPI Dashboard South'!$F:$F,MATCH($A10,'KPI Dashboard South'!$B:$B,0)),INDEX('KPI Dashboard OT'!$F:$F,MATCH($A10,'KPI Dashboard OT'!$B:$B,0))))*$B10,"")</f>
        <v/>
      </c>
      <c r="H10" s="40">
        <f>IFERROR(IF($C10="Physio_North",INDEX('KPI Dashboard North'!$G:$G,MATCH($A10,'KPI Dashboard North'!$B:$B,0)),IF($C10="Physio_South",INDEX('KPI Dashboard South'!$G:$G,MATCH($A10,'KPI Dashboard South'!$B:$B,0)),INDEX('KPI Dashboard OT'!$G:$G,MATCH($A10,'KPI Dashboard OT'!$B:$B,0))))*$B10,"")</f>
        <v/>
      </c>
      <c r="I10" s="40">
        <f>IFERROR(IF($C10="Physio_North",INDEX('KPI Dashboard North'!$H:$H,MATCH($A10,'KPI Dashboard North'!$B:$B,0)),IF($C10="Physio_South",INDEX('KPI Dashboard South'!$H:$H,MATCH($A10,'KPI Dashboard South'!$B:$B,0)),INDEX('KPI Dashboard OT'!$H:$H,MATCH($A10,'KPI Dashboard OT'!$B:$B,0))))*$B10,"")</f>
        <v/>
      </c>
      <c r="J10" s="40">
        <f>IFERROR(IF($C10="Physio_North",INDEX('KPI Dashboard North'!$I:$I,MATCH($A10,'KPI Dashboard North'!$B:$B,0)),IF($C10="Physio_South",INDEX('KPI Dashboard South'!$I:$I,MATCH($A10,'KPI Dashboard South'!$B:$B,0)),INDEX('KPI Dashboard OT'!$I:$I,MATCH($A10,'KPI Dashboard OT'!$B:$B,0))))*$B10,"")</f>
        <v/>
      </c>
      <c r="K10" s="40">
        <f>IFERROR(IF($C10="Physio_North",INDEX('KPI Dashboard North'!$J:$J,MATCH($A10,'KPI Dashboard North'!$B:$B,0)),IF($C10="Physio_South",INDEX('KPI Dashboard South'!$J:$J,MATCH($A10,'KPI Dashboard South'!$B:$B,0)),INDEX('KPI Dashboard OT'!$J:$J,MATCH($A10,'KPI Dashboard OT'!$B:$B,0))))*$B10,"")</f>
        <v/>
      </c>
      <c r="L10" s="40">
        <f>IFERROR(IF($C10="Physio_North",INDEX('KPI Dashboard North'!$K:$K,MATCH($A10,'KPI Dashboard North'!$B:$B,0)),IF($C10="Physio_South",INDEX('KPI Dashboard South'!$K:$K,MATCH($A10,'KPI Dashboard South'!$B:$B,0)),INDEX('KPI Dashboard OT'!$K:$K,MATCH($A10,'KPI Dashboard OT'!$B:$B,0))))*$B10,"")</f>
        <v/>
      </c>
      <c r="M10" s="40">
        <f>IFERROR(IF($C10="Physio_North",INDEX('KPI Dashboard North'!$L:$L,MATCH($A10,'KPI Dashboard North'!$B:$B,0)),IF($C10="Physio_South",INDEX('KPI Dashboard South'!$L:$L,MATCH($A10,'KPI Dashboard South'!$B:$B,0)),INDEX('KPI Dashboard OT'!$L:$L,MATCH($A10,'KPI Dashboard OT'!$B:$B,0))))*$B10,"")</f>
        <v/>
      </c>
      <c r="N10" s="40">
        <f>IFERROR(IF($C10="Physio_North",INDEX('KPI Dashboard North'!$M:$M,MATCH($A10,'KPI Dashboard North'!$B:$B,0)),IF($C10="Physio_South",INDEX('KPI Dashboard South'!$M:$M,MATCH($A10,'KPI Dashboard South'!$B:$B,0)),INDEX('KPI Dashboard OT'!$M:$M,MATCH($A10,'KPI Dashboard OT'!$B:$B,0))))*$B10,"")</f>
        <v/>
      </c>
      <c r="O10" s="40">
        <f>IFERROR(IF($C10="Physio_North",INDEX('KPI Dashboard North'!$N:$N,MATCH($A10,'KPI Dashboard North'!$B:$B,0)),IF($C10="Physio_South",INDEX('KPI Dashboard South'!$N:$N,MATCH($A10,'KPI Dashboard South'!$B:$B,0)),INDEX('KPI Dashboard OT'!$N:$N,MATCH($A10,'KPI Dashboard OT'!$B:$B,0))))*$B10,"")</f>
        <v/>
      </c>
    </row>
    <row r="11">
      <c r="A11" s="158" t="inlineStr">
        <is>
          <t>Jaymee</t>
        </is>
      </c>
      <c r="B11" s="41" t="n">
        <v>1</v>
      </c>
      <c r="C11" s="164" t="inlineStr">
        <is>
          <t>Physio_North</t>
        </is>
      </c>
      <c r="D11" s="40">
        <f>IFERROR(IF($C11="Physio_North",INDEX('KPI Dashboard North'!$C:$C,MATCH($A11,'KPI Dashboard North'!$B:$B,0)),IF($C11="Physio_South",INDEX('KPI Dashboard South'!$C:$C,MATCH($A11,'KPI Dashboard South'!$B:$B,0)),INDEX('KPI Dashboard OT'!$C:$C,MATCH($A11,'KPI Dashboard OT'!$B:$B,0))))*B11,"")</f>
        <v/>
      </c>
      <c r="E11" s="40">
        <f>IFERROR(IF($C11="Physio_North",INDEX('KPI Dashboard North'!$D:$D,MATCH($A11,'KPI Dashboard North'!$B:$B,0)),IF($C11="Physio_South",INDEX('KPI Dashboard South'!$D:$D,MATCH($A11,'KPI Dashboard South'!$B:$B,0)),INDEX('KPI Dashboard OT'!$D:$D,MATCH($A11,'KPI Dashboard OT'!$B:$B,0))))*$B11,"")</f>
        <v/>
      </c>
      <c r="F11" s="40">
        <f>IFERROR(IF($C11="Physio_North",INDEX('KPI Dashboard North'!$E:$E,MATCH($A11,'KPI Dashboard North'!$B:$B,0)),IF($C11="Physio_South",INDEX('KPI Dashboard South'!$E:$E,MATCH($A11,'KPI Dashboard South'!$B:$B,0)),INDEX('KPI Dashboard OT'!$E:$E,MATCH($A11,'KPI Dashboard OT'!$B:$B,0))))*$B11,"")</f>
        <v/>
      </c>
      <c r="G11" s="40">
        <f>IFERROR(IF($C11="Physio_North",INDEX('KPI Dashboard North'!$F:$F,MATCH($A11,'KPI Dashboard North'!$B:$B,0)),IF($C11="Physio_South",INDEX('KPI Dashboard South'!$F:$F,MATCH($A11,'KPI Dashboard South'!$B:$B,0)),INDEX('KPI Dashboard OT'!$F:$F,MATCH($A11,'KPI Dashboard OT'!$B:$B,0))))*$B11,"")</f>
        <v/>
      </c>
      <c r="H11" s="40">
        <f>IFERROR(IF($C11="Physio_North",INDEX('KPI Dashboard North'!$G:$G,MATCH($A11,'KPI Dashboard North'!$B:$B,0)),IF($C11="Physio_South",INDEX('KPI Dashboard South'!$G:$G,MATCH($A11,'KPI Dashboard South'!$B:$B,0)),INDEX('KPI Dashboard OT'!$G:$G,MATCH($A11,'KPI Dashboard OT'!$B:$B,0))))*$B11,"")</f>
        <v/>
      </c>
      <c r="I11" s="40">
        <f>IFERROR(IF($C11="Physio_North",INDEX('KPI Dashboard North'!$H:$H,MATCH($A11,'KPI Dashboard North'!$B:$B,0)),IF($C11="Physio_South",INDEX('KPI Dashboard South'!$H:$H,MATCH($A11,'KPI Dashboard South'!$B:$B,0)),INDEX('KPI Dashboard OT'!$H:$H,MATCH($A11,'KPI Dashboard OT'!$B:$B,0))))*$B11,"")</f>
        <v/>
      </c>
      <c r="J11" s="40">
        <f>IFERROR(IF($C11="Physio_North",INDEX('KPI Dashboard North'!$I:$I,MATCH($A11,'KPI Dashboard North'!$B:$B,0)),IF($C11="Physio_South",INDEX('KPI Dashboard South'!$I:$I,MATCH($A11,'KPI Dashboard South'!$B:$B,0)),INDEX('KPI Dashboard OT'!$I:$I,MATCH($A11,'KPI Dashboard OT'!$B:$B,0))))*$B11,"")</f>
        <v/>
      </c>
      <c r="K11" s="40">
        <f>IFERROR(IF($C11="Physio_North",INDEX('KPI Dashboard North'!$J:$J,MATCH($A11,'KPI Dashboard North'!$B:$B,0)),IF($C11="Physio_South",INDEX('KPI Dashboard South'!$J:$J,MATCH($A11,'KPI Dashboard South'!$B:$B,0)),INDEX('KPI Dashboard OT'!$J:$J,MATCH($A11,'KPI Dashboard OT'!$B:$B,0))))*$B11,"")</f>
        <v/>
      </c>
      <c r="L11" s="40">
        <f>IFERROR(IF($C11="Physio_North",INDEX('KPI Dashboard North'!$K:$K,MATCH($A11,'KPI Dashboard North'!$B:$B,0)),IF($C11="Physio_South",INDEX('KPI Dashboard South'!$K:$K,MATCH($A11,'KPI Dashboard South'!$B:$B,0)),INDEX('KPI Dashboard OT'!$K:$K,MATCH($A11,'KPI Dashboard OT'!$B:$B,0))))*$B11,"")</f>
        <v/>
      </c>
      <c r="M11" s="40">
        <f>IFERROR(IF($C11="Physio_North",INDEX('KPI Dashboard North'!$L:$L,MATCH($A11,'KPI Dashboard North'!$B:$B,0)),IF($C11="Physio_South",INDEX('KPI Dashboard South'!$L:$L,MATCH($A11,'KPI Dashboard South'!$B:$B,0)),INDEX('KPI Dashboard OT'!$L:$L,MATCH($A11,'KPI Dashboard OT'!$B:$B,0))))*$B11,"")</f>
        <v/>
      </c>
      <c r="N11" s="40">
        <f>IFERROR(IF($C11="Physio_North",INDEX('KPI Dashboard North'!$M:$M,MATCH($A11,'KPI Dashboard North'!$B:$B,0)),IF($C11="Physio_South",INDEX('KPI Dashboard South'!$M:$M,MATCH($A11,'KPI Dashboard South'!$B:$B,0)),INDEX('KPI Dashboard OT'!$M:$M,MATCH($A11,'KPI Dashboard OT'!$B:$B,0))))*$B11,"")</f>
        <v/>
      </c>
      <c r="O11" s="40">
        <f>IFERROR(IF($C11="Physio_North",INDEX('KPI Dashboard North'!$N:$N,MATCH($A11,'KPI Dashboard North'!$B:$B,0)),IF($C11="Physio_South",INDEX('KPI Dashboard South'!$N:$N,MATCH($A11,'KPI Dashboard South'!$B:$B,0)),INDEX('KPI Dashboard OT'!$N:$N,MATCH($A11,'KPI Dashboard OT'!$B:$B,0))))*$B11,"")</f>
        <v/>
      </c>
    </row>
    <row r="12">
      <c r="A12" s="158" t="inlineStr">
        <is>
          <t>Tom</t>
        </is>
      </c>
      <c r="B12" s="42" t="n">
        <v>0.4</v>
      </c>
      <c r="C12" s="164" t="inlineStr">
        <is>
          <t>Physio_South</t>
        </is>
      </c>
      <c r="D12" s="40">
        <f>IFERROR(IF($C12="Physio_North",INDEX('KPI Dashboard North'!$C:$C,MATCH($A12,'KPI Dashboard North'!$B:$B,0)),IF($C12="Physio_South",INDEX('KPI Dashboard South'!$C:$C,MATCH($A12,'KPI Dashboard South'!$B:$B,0)),INDEX('KPI Dashboard OT'!$C:$C,MATCH($A12,'KPI Dashboard OT'!$B:$B,0))))*B12,"")</f>
        <v/>
      </c>
      <c r="E12" s="40">
        <f>IFERROR(IF($C12="Physio_North",INDEX('KPI Dashboard North'!$D:$D,MATCH($A12,'KPI Dashboard North'!$B:$B,0)),IF($C12="Physio_South",INDEX('KPI Dashboard South'!$D:$D,MATCH($A12,'KPI Dashboard South'!$B:$B,0)),INDEX('KPI Dashboard OT'!$D:$D,MATCH($A12,'KPI Dashboard OT'!$B:$B,0))))*$B12,"")</f>
        <v/>
      </c>
      <c r="F12" s="40">
        <f>IFERROR(IF($C12="Physio_North",INDEX('KPI Dashboard North'!$E:$E,MATCH($A12,'KPI Dashboard North'!$B:$B,0)),IF($C12="Physio_South",INDEX('KPI Dashboard South'!$E:$E,MATCH($A12,'KPI Dashboard South'!$B:$B,0)),INDEX('KPI Dashboard OT'!$E:$E,MATCH($A12,'KPI Dashboard OT'!$B:$B,0))))*$B12,"")</f>
        <v/>
      </c>
      <c r="G12" s="40">
        <f>IFERROR(IF($C12="Physio_North",INDEX('KPI Dashboard North'!$F:$F,MATCH($A12,'KPI Dashboard North'!$B:$B,0)),IF($C12="Physio_South",INDEX('KPI Dashboard South'!$F:$F,MATCH($A12,'KPI Dashboard South'!$B:$B,0)),INDEX('KPI Dashboard OT'!$F:$F,MATCH($A12,'KPI Dashboard OT'!$B:$B,0))))*$B12,"")</f>
        <v/>
      </c>
      <c r="H12" s="40">
        <f>IFERROR(IF($C12="Physio_North",INDEX('KPI Dashboard North'!$G:$G,MATCH($A12,'KPI Dashboard North'!$B:$B,0)),IF($C12="Physio_South",INDEX('KPI Dashboard South'!$G:$G,MATCH($A12,'KPI Dashboard South'!$B:$B,0)),INDEX('KPI Dashboard OT'!$G:$G,MATCH($A12,'KPI Dashboard OT'!$B:$B,0))))*$B12,"")</f>
        <v/>
      </c>
      <c r="I12" s="40">
        <f>IFERROR(IF($C12="Physio_North",INDEX('KPI Dashboard North'!$H:$H,MATCH($A12,'KPI Dashboard North'!$B:$B,0)),IF($C12="Physio_South",INDEX('KPI Dashboard South'!$H:$H,MATCH($A12,'KPI Dashboard South'!$B:$B,0)),INDEX('KPI Dashboard OT'!$H:$H,MATCH($A12,'KPI Dashboard OT'!$B:$B,0))))*$B12,"")</f>
        <v/>
      </c>
      <c r="J12" s="40">
        <f>IFERROR(IF($C12="Physio_North",INDEX('KPI Dashboard North'!$I:$I,MATCH($A12,'KPI Dashboard North'!$B:$B,0)),IF($C12="Physio_South",INDEX('KPI Dashboard South'!$I:$I,MATCH($A12,'KPI Dashboard South'!$B:$B,0)),INDEX('KPI Dashboard OT'!$I:$I,MATCH($A12,'KPI Dashboard OT'!$B:$B,0))))*$B12,"")</f>
        <v/>
      </c>
      <c r="K12" s="40">
        <f>IFERROR(IF($C12="Physio_North",INDEX('KPI Dashboard North'!$J:$J,MATCH($A12,'KPI Dashboard North'!$B:$B,0)),IF($C12="Physio_South",INDEX('KPI Dashboard South'!$J:$J,MATCH($A12,'KPI Dashboard South'!$B:$B,0)),INDEX('KPI Dashboard OT'!$J:$J,MATCH($A12,'KPI Dashboard OT'!$B:$B,0))))*$B12,"")</f>
        <v/>
      </c>
      <c r="L12" s="40">
        <f>IFERROR(IF($C12="Physio_North",INDEX('KPI Dashboard North'!$K:$K,MATCH($A12,'KPI Dashboard North'!$B:$B,0)),IF($C12="Physio_South",INDEX('KPI Dashboard South'!$K:$K,MATCH($A12,'KPI Dashboard South'!$B:$B,0)),INDEX('KPI Dashboard OT'!$K:$K,MATCH($A12,'KPI Dashboard OT'!$B:$B,0))))*$B12,"")</f>
        <v/>
      </c>
      <c r="M12" s="40">
        <f>IFERROR(IF($C12="Physio_North",INDEX('KPI Dashboard North'!$L:$L,MATCH($A12,'KPI Dashboard North'!$B:$B,0)),IF($C12="Physio_South",INDEX('KPI Dashboard South'!$L:$L,MATCH($A12,'KPI Dashboard South'!$B:$B,0)),INDEX('KPI Dashboard OT'!$L:$L,MATCH($A12,'KPI Dashboard OT'!$B:$B,0))))*$B12,"")</f>
        <v/>
      </c>
      <c r="N12" s="40">
        <f>IFERROR(IF($C12="Physio_North",INDEX('KPI Dashboard North'!$M:$M,MATCH($A12,'KPI Dashboard North'!$B:$B,0)),IF($C12="Physio_South",INDEX('KPI Dashboard South'!$M:$M,MATCH($A12,'KPI Dashboard South'!$B:$B,0)),INDEX('KPI Dashboard OT'!$M:$M,MATCH($A12,'KPI Dashboard OT'!$B:$B,0))))*$B12,"")</f>
        <v/>
      </c>
      <c r="O12" s="40">
        <f>IFERROR(IF($C12="Physio_North",INDEX('KPI Dashboard North'!$N:$N,MATCH($A12,'KPI Dashboard North'!$B:$B,0)),IF($C12="Physio_South",INDEX('KPI Dashboard South'!$N:$N,MATCH($A12,'KPI Dashboard South'!$B:$B,0)),INDEX('KPI Dashboard OT'!$N:$N,MATCH($A12,'KPI Dashboard OT'!$B:$B,0))))*$B12,"")</f>
        <v/>
      </c>
    </row>
    <row r="13">
      <c r="A13" s="158" t="inlineStr">
        <is>
          <t>Maddie</t>
        </is>
      </c>
      <c r="B13" s="42" t="n">
        <v>0.2</v>
      </c>
      <c r="C13" s="164" t="inlineStr">
        <is>
          <t>Physio_South</t>
        </is>
      </c>
      <c r="D13" s="40">
        <f>IFERROR(IF($C13="Physio_North",INDEX('KPI Dashboard North'!$C:$C,MATCH($A13,'KPI Dashboard North'!$B:$B,0)),IF($C13="Physio_South",INDEX('KPI Dashboard South'!$C:$C,MATCH($A13,'KPI Dashboard South'!$B:$B,0)),INDEX('KPI Dashboard OT'!$C:$C,MATCH($A13,'KPI Dashboard OT'!$B:$B,0))))*B13,"")</f>
        <v/>
      </c>
      <c r="E13" s="40">
        <f>IFERROR(IF($C13="Physio_North",INDEX('KPI Dashboard North'!$D:$D,MATCH($A13,'KPI Dashboard North'!$B:$B,0)),IF($C13="Physio_South",INDEX('KPI Dashboard South'!$D:$D,MATCH($A13,'KPI Dashboard South'!$B:$B,0)),INDEX('KPI Dashboard OT'!$D:$D,MATCH($A13,'KPI Dashboard OT'!$B:$B,0))))*$B13,"")</f>
        <v/>
      </c>
      <c r="F13" s="40">
        <f>IFERROR(IF($C13="Physio_North",INDEX('KPI Dashboard North'!$E:$E,MATCH($A13,'KPI Dashboard North'!$B:$B,0)),IF($C13="Physio_South",INDEX('KPI Dashboard South'!$E:$E,MATCH($A13,'KPI Dashboard South'!$B:$B,0)),INDEX('KPI Dashboard OT'!$E:$E,MATCH($A13,'KPI Dashboard OT'!$B:$B,0))))*$B13,"")</f>
        <v/>
      </c>
      <c r="G13" s="40">
        <f>IFERROR(IF($C13="Physio_North",INDEX('KPI Dashboard North'!$F:$F,MATCH($A13,'KPI Dashboard North'!$B:$B,0)),IF($C13="Physio_South",INDEX('KPI Dashboard South'!$F:$F,MATCH($A13,'KPI Dashboard South'!$B:$B,0)),INDEX('KPI Dashboard OT'!$F:$F,MATCH($A13,'KPI Dashboard OT'!$B:$B,0))))*$B13,"")</f>
        <v/>
      </c>
      <c r="H13" s="40">
        <f>IFERROR(IF($C13="Physio_North",INDEX('KPI Dashboard North'!$G:$G,MATCH($A13,'KPI Dashboard North'!$B:$B,0)),IF($C13="Physio_South",INDEX('KPI Dashboard South'!$G:$G,MATCH($A13,'KPI Dashboard South'!$B:$B,0)),INDEX('KPI Dashboard OT'!$G:$G,MATCH($A13,'KPI Dashboard OT'!$B:$B,0))))*$B13,"")</f>
        <v/>
      </c>
      <c r="I13" s="40">
        <f>IFERROR(IF($C13="Physio_North",INDEX('KPI Dashboard North'!$H:$H,MATCH($A13,'KPI Dashboard North'!$B:$B,0)),IF($C13="Physio_South",INDEX('KPI Dashboard South'!$H:$H,MATCH($A13,'KPI Dashboard South'!$B:$B,0)),INDEX('KPI Dashboard OT'!$H:$H,MATCH($A13,'KPI Dashboard OT'!$B:$B,0))))*$B13,"")</f>
        <v/>
      </c>
      <c r="J13" s="40">
        <f>IFERROR(IF($C13="Physio_North",INDEX('KPI Dashboard North'!$I:$I,MATCH($A13,'KPI Dashboard North'!$B:$B,0)),IF($C13="Physio_South",INDEX('KPI Dashboard South'!$I:$I,MATCH($A13,'KPI Dashboard South'!$B:$B,0)),INDEX('KPI Dashboard OT'!$I:$I,MATCH($A13,'KPI Dashboard OT'!$B:$B,0))))*$B13,"")</f>
        <v/>
      </c>
      <c r="K13" s="40">
        <f>IFERROR(IF($C13="Physio_North",INDEX('KPI Dashboard North'!$J:$J,MATCH($A13,'KPI Dashboard North'!$B:$B,0)),IF($C13="Physio_South",INDEX('KPI Dashboard South'!$J:$J,MATCH($A13,'KPI Dashboard South'!$B:$B,0)),INDEX('KPI Dashboard OT'!$J:$J,MATCH($A13,'KPI Dashboard OT'!$B:$B,0))))*$B13,"")</f>
        <v/>
      </c>
      <c r="L13" s="40">
        <f>IFERROR(IF($C13="Physio_North",INDEX('KPI Dashboard North'!$K:$K,MATCH($A13,'KPI Dashboard North'!$B:$B,0)),IF($C13="Physio_South",INDEX('KPI Dashboard South'!$K:$K,MATCH($A13,'KPI Dashboard South'!$B:$B,0)),INDEX('KPI Dashboard OT'!$K:$K,MATCH($A13,'KPI Dashboard OT'!$B:$B,0))))*$B13,"")</f>
        <v/>
      </c>
      <c r="M13" s="40">
        <f>IFERROR(IF($C13="Physio_North",INDEX('KPI Dashboard North'!$L:$L,MATCH($A13,'KPI Dashboard North'!$B:$B,0)),IF($C13="Physio_South",INDEX('KPI Dashboard South'!$L:$L,MATCH($A13,'KPI Dashboard South'!$B:$B,0)),INDEX('KPI Dashboard OT'!$L:$L,MATCH($A13,'KPI Dashboard OT'!$B:$B,0))))*$B13,"")</f>
        <v/>
      </c>
      <c r="N13" s="40">
        <f>IFERROR(IF($C13="Physio_North",INDEX('KPI Dashboard North'!$M:$M,MATCH($A13,'KPI Dashboard North'!$B:$B,0)),IF($C13="Physio_South",INDEX('KPI Dashboard South'!$M:$M,MATCH($A13,'KPI Dashboard South'!$B:$B,0)),INDEX('KPI Dashboard OT'!$M:$M,MATCH($A13,'KPI Dashboard OT'!$B:$B,0))))*$B13,"")</f>
        <v/>
      </c>
      <c r="O13" s="40">
        <f>IFERROR(IF($C13="Physio_North",INDEX('KPI Dashboard North'!$N:$N,MATCH($A13,'KPI Dashboard North'!$B:$B,0)),IF($C13="Physio_South",INDEX('KPI Dashboard South'!$N:$N,MATCH($A13,'KPI Dashboard South'!$B:$B,0)),INDEX('KPI Dashboard OT'!$N:$N,MATCH($A13,'KPI Dashboard OT'!$B:$B,0))))*$B13,"")</f>
        <v/>
      </c>
    </row>
    <row r="14">
      <c r="A14" s="158" t="inlineStr">
        <is>
          <t>Andy</t>
        </is>
      </c>
      <c r="B14" s="42" t="n">
        <v>1</v>
      </c>
      <c r="C14" s="164" t="inlineStr">
        <is>
          <t>Physio_South</t>
        </is>
      </c>
      <c r="D14" s="40">
        <f>IFERROR(IF($C14="Physio_North",INDEX('KPI Dashboard North'!$C:$C,MATCH($A14,'KPI Dashboard North'!$B:$B,0)),IF($C14="Physio_South",INDEX('KPI Dashboard South'!$C:$C,MATCH($A14,'KPI Dashboard South'!$B:$B,0)),INDEX('KPI Dashboard OT'!$C:$C,MATCH($A14,'KPI Dashboard OT'!$B:$B,0))))*B14,"")</f>
        <v/>
      </c>
      <c r="E14" s="40">
        <f>IFERROR(IF($C14="Physio_North",INDEX('KPI Dashboard North'!$D:$D,MATCH($A14,'KPI Dashboard North'!$B:$B,0)),IF($C14="Physio_South",INDEX('KPI Dashboard South'!$D:$D,MATCH($A14,'KPI Dashboard South'!$B:$B,0)),INDEX('KPI Dashboard OT'!$D:$D,MATCH($A14,'KPI Dashboard OT'!$B:$B,0))))*$B14,"")</f>
        <v/>
      </c>
      <c r="F14" s="40">
        <f>IFERROR(IF($C14="Physio_North",INDEX('KPI Dashboard North'!$E:$E,MATCH($A14,'KPI Dashboard North'!$B:$B,0)),IF($C14="Physio_South",INDEX('KPI Dashboard South'!$E:$E,MATCH($A14,'KPI Dashboard South'!$B:$B,0)),INDEX('KPI Dashboard OT'!$E:$E,MATCH($A14,'KPI Dashboard OT'!$B:$B,0))))*$B14,"")</f>
        <v/>
      </c>
      <c r="G14" s="40">
        <f>IFERROR(IF($C14="Physio_North",INDEX('KPI Dashboard North'!$F:$F,MATCH($A14,'KPI Dashboard North'!$B:$B,0)),IF($C14="Physio_South",INDEX('KPI Dashboard South'!$F:$F,MATCH($A14,'KPI Dashboard South'!$B:$B,0)),INDEX('KPI Dashboard OT'!$F:$F,MATCH($A14,'KPI Dashboard OT'!$B:$B,0))))*$B14,"")</f>
        <v/>
      </c>
      <c r="H14" s="40">
        <f>IFERROR(IF($C14="Physio_North",INDEX('KPI Dashboard North'!$G:$G,MATCH($A14,'KPI Dashboard North'!$B:$B,0)),IF($C14="Physio_South",INDEX('KPI Dashboard South'!$G:$G,MATCH($A14,'KPI Dashboard South'!$B:$B,0)),INDEX('KPI Dashboard OT'!$G:$G,MATCH($A14,'KPI Dashboard OT'!$B:$B,0))))*$B14,"")</f>
        <v/>
      </c>
      <c r="I14" s="40">
        <f>IFERROR(IF($C14="Physio_North",INDEX('KPI Dashboard North'!$H:$H,MATCH($A14,'KPI Dashboard North'!$B:$B,0)),IF($C14="Physio_South",INDEX('KPI Dashboard South'!$H:$H,MATCH($A14,'KPI Dashboard South'!$B:$B,0)),INDEX('KPI Dashboard OT'!$H:$H,MATCH($A14,'KPI Dashboard OT'!$B:$B,0))))*$B14,"")</f>
        <v/>
      </c>
      <c r="J14" s="40">
        <f>IFERROR(IF($C14="Physio_North",INDEX('KPI Dashboard North'!$I:$I,MATCH($A14,'KPI Dashboard North'!$B:$B,0)),IF($C14="Physio_South",INDEX('KPI Dashboard South'!$I:$I,MATCH($A14,'KPI Dashboard South'!$B:$B,0)),INDEX('KPI Dashboard OT'!$I:$I,MATCH($A14,'KPI Dashboard OT'!$B:$B,0))))*$B14,"")</f>
        <v/>
      </c>
      <c r="K14" s="40">
        <f>IFERROR(IF($C14="Physio_North",INDEX('KPI Dashboard North'!$J:$J,MATCH($A14,'KPI Dashboard North'!$B:$B,0)),IF($C14="Physio_South",INDEX('KPI Dashboard South'!$J:$J,MATCH($A14,'KPI Dashboard South'!$B:$B,0)),INDEX('KPI Dashboard OT'!$J:$J,MATCH($A14,'KPI Dashboard OT'!$B:$B,0))))*$B14,"")</f>
        <v/>
      </c>
      <c r="L14" s="40">
        <f>IFERROR(IF($C14="Physio_North",INDEX('KPI Dashboard North'!$K:$K,MATCH($A14,'KPI Dashboard North'!$B:$B,0)),IF($C14="Physio_South",INDEX('KPI Dashboard South'!$K:$K,MATCH($A14,'KPI Dashboard South'!$B:$B,0)),INDEX('KPI Dashboard OT'!$K:$K,MATCH($A14,'KPI Dashboard OT'!$B:$B,0))))*$B14,"")</f>
        <v/>
      </c>
      <c r="M14" s="40">
        <f>IFERROR(IF($C14="Physio_North",INDEX('KPI Dashboard North'!$L:$L,MATCH($A14,'KPI Dashboard North'!$B:$B,0)),IF($C14="Physio_South",INDEX('KPI Dashboard South'!$L:$L,MATCH($A14,'KPI Dashboard South'!$B:$B,0)),INDEX('KPI Dashboard OT'!$L:$L,MATCH($A14,'KPI Dashboard OT'!$B:$B,0))))*$B14,"")</f>
        <v/>
      </c>
      <c r="N14" s="40">
        <f>IFERROR(IF($C14="Physio_North",INDEX('KPI Dashboard North'!$M:$M,MATCH($A14,'KPI Dashboard North'!$B:$B,0)),IF($C14="Physio_South",INDEX('KPI Dashboard South'!$M:$M,MATCH($A14,'KPI Dashboard South'!$B:$B,0)),INDEX('KPI Dashboard OT'!$M:$M,MATCH($A14,'KPI Dashboard OT'!$B:$B,0))))*$B14,"")</f>
        <v/>
      </c>
      <c r="O14" s="40">
        <f>IFERROR(IF($C14="Physio_North",INDEX('KPI Dashboard North'!$N:$N,MATCH($A14,'KPI Dashboard North'!$B:$B,0)),IF($C14="Physio_South",INDEX('KPI Dashboard South'!$N:$N,MATCH($A14,'KPI Dashboard South'!$B:$B,0)),INDEX('KPI Dashboard OT'!$N:$N,MATCH($A14,'KPI Dashboard OT'!$B:$B,0))))*$B14,"")</f>
        <v/>
      </c>
    </row>
    <row r="15">
      <c r="A15" s="158" t="inlineStr">
        <is>
          <t>Beth</t>
        </is>
      </c>
      <c r="B15" s="42" t="n">
        <v>0.8</v>
      </c>
      <c r="C15" s="164" t="inlineStr">
        <is>
          <t>Physio_South</t>
        </is>
      </c>
      <c r="D15" s="40">
        <f>IFERROR(IF($C15="Physio_North",INDEX('KPI Dashboard North'!$C:$C,MATCH($A15,'KPI Dashboard North'!$B:$B,0)),IF($C15="Physio_South",INDEX('KPI Dashboard South'!$C:$C,MATCH($A15,'KPI Dashboard South'!$B:$B,0)),INDEX('KPI Dashboard OT'!$C:$C,MATCH($A15,'KPI Dashboard OT'!$B:$B,0))))*B15,"")</f>
        <v/>
      </c>
      <c r="E15" s="40">
        <f>IFERROR(IF($C15="Physio_North",INDEX('KPI Dashboard North'!$D:$D,MATCH($A15,'KPI Dashboard North'!$B:$B,0)),IF($C15="Physio_South",INDEX('KPI Dashboard South'!$D:$D,MATCH($A15,'KPI Dashboard South'!$B:$B,0)),INDEX('KPI Dashboard OT'!$D:$D,MATCH($A15,'KPI Dashboard OT'!$B:$B,0))))*$B15,"")</f>
        <v/>
      </c>
      <c r="F15" s="40">
        <f>IFERROR(IF($C15="Physio_North",INDEX('KPI Dashboard North'!$E:$E,MATCH($A15,'KPI Dashboard North'!$B:$B,0)),IF($C15="Physio_South",INDEX('KPI Dashboard South'!$E:$E,MATCH($A15,'KPI Dashboard South'!$B:$B,0)),INDEX('KPI Dashboard OT'!$E:$E,MATCH($A15,'KPI Dashboard OT'!$B:$B,0))))*$B15,"")</f>
        <v/>
      </c>
      <c r="G15" s="40">
        <f>IFERROR(IF($C15="Physio_North",INDEX('KPI Dashboard North'!$F:$F,MATCH($A15,'KPI Dashboard North'!$B:$B,0)),IF($C15="Physio_South",INDEX('KPI Dashboard South'!$F:$F,MATCH($A15,'KPI Dashboard South'!$B:$B,0)),INDEX('KPI Dashboard OT'!$F:$F,MATCH($A15,'KPI Dashboard OT'!$B:$B,0))))*$B15,"")</f>
        <v/>
      </c>
      <c r="H15" s="40">
        <f>IFERROR(IF($C15="Physio_North",INDEX('KPI Dashboard North'!$G:$G,MATCH($A15,'KPI Dashboard North'!$B:$B,0)),IF($C15="Physio_South",INDEX('KPI Dashboard South'!$G:$G,MATCH($A15,'KPI Dashboard South'!$B:$B,0)),INDEX('KPI Dashboard OT'!$G:$G,MATCH($A15,'KPI Dashboard OT'!$B:$B,0))))*$B15,"")</f>
        <v/>
      </c>
      <c r="I15" s="40">
        <f>IFERROR(IF($C15="Physio_North",INDEX('KPI Dashboard North'!$H:$H,MATCH($A15,'KPI Dashboard North'!$B:$B,0)),IF($C15="Physio_South",INDEX('KPI Dashboard South'!$H:$H,MATCH($A15,'KPI Dashboard South'!$B:$B,0)),INDEX('KPI Dashboard OT'!$H:$H,MATCH($A15,'KPI Dashboard OT'!$B:$B,0))))*$B15,"")</f>
        <v/>
      </c>
      <c r="J15" s="40">
        <f>IFERROR(IF($C15="Physio_North",INDEX('KPI Dashboard North'!$I:$I,MATCH($A15,'KPI Dashboard North'!$B:$B,0)),IF($C15="Physio_South",INDEX('KPI Dashboard South'!$I:$I,MATCH($A15,'KPI Dashboard South'!$B:$B,0)),INDEX('KPI Dashboard OT'!$I:$I,MATCH($A15,'KPI Dashboard OT'!$B:$B,0))))*$B15,"")</f>
        <v/>
      </c>
      <c r="K15" s="40">
        <f>IFERROR(IF($C15="Physio_North",INDEX('KPI Dashboard North'!$J:$J,MATCH($A15,'KPI Dashboard North'!$B:$B,0)),IF($C15="Physio_South",INDEX('KPI Dashboard South'!$J:$J,MATCH($A15,'KPI Dashboard South'!$B:$B,0)),INDEX('KPI Dashboard OT'!$J:$J,MATCH($A15,'KPI Dashboard OT'!$B:$B,0))))*$B15,"")</f>
        <v/>
      </c>
      <c r="L15" s="40">
        <f>IFERROR(IF($C15="Physio_North",INDEX('KPI Dashboard North'!$K:$K,MATCH($A15,'KPI Dashboard North'!$B:$B,0)),IF($C15="Physio_South",INDEX('KPI Dashboard South'!$K:$K,MATCH($A15,'KPI Dashboard South'!$B:$B,0)),INDEX('KPI Dashboard OT'!$K:$K,MATCH($A15,'KPI Dashboard OT'!$B:$B,0))))*$B15,"")</f>
        <v/>
      </c>
      <c r="M15" s="40">
        <f>IFERROR(IF($C15="Physio_North",INDEX('KPI Dashboard North'!$L:$L,MATCH($A15,'KPI Dashboard North'!$B:$B,0)),IF($C15="Physio_South",INDEX('KPI Dashboard South'!$L:$L,MATCH($A15,'KPI Dashboard South'!$B:$B,0)),INDEX('KPI Dashboard OT'!$L:$L,MATCH($A15,'KPI Dashboard OT'!$B:$B,0))))*$B15,"")</f>
        <v/>
      </c>
      <c r="N15" s="40">
        <f>IFERROR(IF($C15="Physio_North",INDEX('KPI Dashboard North'!$M:$M,MATCH($A15,'KPI Dashboard North'!$B:$B,0)),IF($C15="Physio_South",INDEX('KPI Dashboard South'!$M:$M,MATCH($A15,'KPI Dashboard South'!$B:$B,0)),INDEX('KPI Dashboard OT'!$M:$M,MATCH($A15,'KPI Dashboard OT'!$B:$B,0))))*$B15,"")</f>
        <v/>
      </c>
      <c r="O15" s="40">
        <f>IFERROR(IF($C15="Physio_North",INDEX('KPI Dashboard North'!$N:$N,MATCH($A15,'KPI Dashboard North'!$B:$B,0)),IF($C15="Physio_South",INDEX('KPI Dashboard South'!$N:$N,MATCH($A15,'KPI Dashboard South'!$B:$B,0)),INDEX('KPI Dashboard OT'!$N:$N,MATCH($A15,'KPI Dashboard OT'!$B:$B,0))))*$B15,"")</f>
        <v/>
      </c>
    </row>
    <row r="16">
      <c r="A16" s="158" t="inlineStr">
        <is>
          <t>Felina</t>
        </is>
      </c>
      <c r="B16" s="42" t="n">
        <v>1</v>
      </c>
      <c r="C16" s="164" t="inlineStr">
        <is>
          <t>Physio_South</t>
        </is>
      </c>
      <c r="D16" s="40">
        <f>IFERROR(IF($C16="Physio_North",INDEX('KPI Dashboard North'!$C:$C,MATCH($A16,'KPI Dashboard North'!$B:$B,0)),IF($C16="Physio_South",INDEX('KPI Dashboard South'!$C:$C,MATCH($A16,'KPI Dashboard South'!$B:$B,0)),INDEX('KPI Dashboard OT'!$C:$C,MATCH($A16,'KPI Dashboard OT'!$B:$B,0))))*B16,"")</f>
        <v/>
      </c>
      <c r="E16" s="40">
        <f>IFERROR(IF($C16="Physio_North",INDEX('KPI Dashboard North'!$D:$D,MATCH($A16,'KPI Dashboard North'!$B:$B,0)),IF($C16="Physio_South",INDEX('KPI Dashboard South'!$D:$D,MATCH($A16,'KPI Dashboard South'!$B:$B,0)),INDEX('KPI Dashboard OT'!$D:$D,MATCH($A16,'KPI Dashboard OT'!$B:$B,0))))*$B16,"")</f>
        <v/>
      </c>
      <c r="F16" s="40">
        <f>IFERROR(IF($C16="Physio_North",INDEX('KPI Dashboard North'!$E:$E,MATCH($A16,'KPI Dashboard North'!$B:$B,0)),IF($C16="Physio_South",INDEX('KPI Dashboard South'!$E:$E,MATCH($A16,'KPI Dashboard South'!$B:$B,0)),INDEX('KPI Dashboard OT'!$E:$E,MATCH($A16,'KPI Dashboard OT'!$B:$B,0))))*$B16,"")</f>
        <v/>
      </c>
      <c r="G16" s="40">
        <f>IFERROR(IF($C16="Physio_North",INDEX('KPI Dashboard North'!$F:$F,MATCH($A16,'KPI Dashboard North'!$B:$B,0)),IF($C16="Physio_South",INDEX('KPI Dashboard South'!$F:$F,MATCH($A16,'KPI Dashboard South'!$B:$B,0)),INDEX('KPI Dashboard OT'!$F:$F,MATCH($A16,'KPI Dashboard OT'!$B:$B,0))))*$B16,"")</f>
        <v/>
      </c>
      <c r="H16" s="40">
        <f>IFERROR(IF($C16="Physio_North",INDEX('KPI Dashboard North'!$G:$G,MATCH($A16,'KPI Dashboard North'!$B:$B,0)),IF($C16="Physio_South",INDEX('KPI Dashboard South'!$G:$G,MATCH($A16,'KPI Dashboard South'!$B:$B,0)),INDEX('KPI Dashboard OT'!$G:$G,MATCH($A16,'KPI Dashboard OT'!$B:$B,0))))*$B16,"")</f>
        <v/>
      </c>
      <c r="I16" s="40">
        <f>IFERROR(IF($C16="Physio_North",INDEX('KPI Dashboard North'!$H:$H,MATCH($A16,'KPI Dashboard North'!$B:$B,0)),IF($C16="Physio_South",INDEX('KPI Dashboard South'!$H:$H,MATCH($A16,'KPI Dashboard South'!$B:$B,0)),INDEX('KPI Dashboard OT'!$H:$H,MATCH($A16,'KPI Dashboard OT'!$B:$B,0))))*$B16,"")</f>
        <v/>
      </c>
      <c r="J16" s="40">
        <f>IFERROR(IF($C16="Physio_North",INDEX('KPI Dashboard North'!$I:$I,MATCH($A16,'KPI Dashboard North'!$B:$B,0)),IF($C16="Physio_South",INDEX('KPI Dashboard South'!$I:$I,MATCH($A16,'KPI Dashboard South'!$B:$B,0)),INDEX('KPI Dashboard OT'!$I:$I,MATCH($A16,'KPI Dashboard OT'!$B:$B,0))))*$B16,"")</f>
        <v/>
      </c>
      <c r="K16" s="40">
        <f>IFERROR(IF($C16="Physio_North",INDEX('KPI Dashboard North'!$J:$J,MATCH($A16,'KPI Dashboard North'!$B:$B,0)),IF($C16="Physio_South",INDEX('KPI Dashboard South'!$J:$J,MATCH($A16,'KPI Dashboard South'!$B:$B,0)),INDEX('KPI Dashboard OT'!$J:$J,MATCH($A16,'KPI Dashboard OT'!$B:$B,0))))*$B16,"")</f>
        <v/>
      </c>
      <c r="L16" s="40">
        <f>IFERROR(IF($C16="Physio_North",INDEX('KPI Dashboard North'!$K:$K,MATCH($A16,'KPI Dashboard North'!$B:$B,0)),IF($C16="Physio_South",INDEX('KPI Dashboard South'!$K:$K,MATCH($A16,'KPI Dashboard South'!$B:$B,0)),INDEX('KPI Dashboard OT'!$K:$K,MATCH($A16,'KPI Dashboard OT'!$B:$B,0))))*$B16,"")</f>
        <v/>
      </c>
      <c r="M16" s="40">
        <f>IFERROR(IF($C16="Physio_North",INDEX('KPI Dashboard North'!$L:$L,MATCH($A16,'KPI Dashboard North'!$B:$B,0)),IF($C16="Physio_South",INDEX('KPI Dashboard South'!$L:$L,MATCH($A16,'KPI Dashboard South'!$B:$B,0)),INDEX('KPI Dashboard OT'!$L:$L,MATCH($A16,'KPI Dashboard OT'!$B:$B,0))))*$B16,"")</f>
        <v/>
      </c>
      <c r="N16" s="40">
        <f>IFERROR(IF($C16="Physio_North",INDEX('KPI Dashboard North'!$M:$M,MATCH($A16,'KPI Dashboard North'!$B:$B,0)),IF($C16="Physio_South",INDEX('KPI Dashboard South'!$M:$M,MATCH($A16,'KPI Dashboard South'!$B:$B,0)),INDEX('KPI Dashboard OT'!$M:$M,MATCH($A16,'KPI Dashboard OT'!$B:$B,0))))*$B16,"")</f>
        <v/>
      </c>
      <c r="O16" s="40">
        <f>IFERROR(IF($C16="Physio_North",INDEX('KPI Dashboard North'!$N:$N,MATCH($A16,'KPI Dashboard North'!$B:$B,0)),IF($C16="Physio_South",INDEX('KPI Dashboard South'!$N:$N,MATCH($A16,'KPI Dashboard South'!$B:$B,0)),INDEX('KPI Dashboard OT'!$N:$N,MATCH($A16,'KPI Dashboard OT'!$B:$B,0))))*$B16,"")</f>
        <v/>
      </c>
    </row>
    <row r="17">
      <c r="A17" s="158" t="inlineStr">
        <is>
          <t>Janice</t>
        </is>
      </c>
      <c r="B17" s="42" t="n">
        <v>1</v>
      </c>
      <c r="C17" s="164" t="inlineStr">
        <is>
          <t>Physio_South</t>
        </is>
      </c>
      <c r="D17" s="40">
        <f>IFERROR(IF($C17="Physio_North",INDEX('KPI Dashboard North'!$C:$C,MATCH($A17,'KPI Dashboard North'!$B:$B,0)),IF($C17="Physio_South",INDEX('KPI Dashboard South'!$C:$C,MATCH($A17,'KPI Dashboard South'!$B:$B,0)),INDEX('KPI Dashboard OT'!$C:$C,MATCH($A17,'KPI Dashboard OT'!$B:$B,0))))*B17,"")</f>
        <v/>
      </c>
      <c r="E17" s="40">
        <f>IFERROR(IF($C17="Physio_North",INDEX('KPI Dashboard North'!$D:$D,MATCH($A17,'KPI Dashboard North'!$B:$B,0)),IF($C17="Physio_South",INDEX('KPI Dashboard South'!$D:$D,MATCH($A17,'KPI Dashboard South'!$B:$B,0)),INDEX('KPI Dashboard OT'!$D:$D,MATCH($A17,'KPI Dashboard OT'!$B:$B,0))))*$B17,"")</f>
        <v/>
      </c>
      <c r="F17" s="40">
        <f>IFERROR(IF($C17="Physio_North",INDEX('KPI Dashboard North'!$E:$E,MATCH($A17,'KPI Dashboard North'!$B:$B,0)),IF($C17="Physio_South",INDEX('KPI Dashboard South'!$E:$E,MATCH($A17,'KPI Dashboard South'!$B:$B,0)),INDEX('KPI Dashboard OT'!$E:$E,MATCH($A17,'KPI Dashboard OT'!$B:$B,0))))*$B17,"")</f>
        <v/>
      </c>
      <c r="G17" s="40">
        <f>IFERROR(IF($C17="Physio_North",INDEX('KPI Dashboard North'!$F:$F,MATCH($A17,'KPI Dashboard North'!$B:$B,0)),IF($C17="Physio_South",INDEX('KPI Dashboard South'!$F:$F,MATCH($A17,'KPI Dashboard South'!$B:$B,0)),INDEX('KPI Dashboard OT'!$F:$F,MATCH($A17,'KPI Dashboard OT'!$B:$B,0))))*$B17,"")</f>
        <v/>
      </c>
      <c r="H17" s="40">
        <f>IFERROR(IF($C17="Physio_North",INDEX('KPI Dashboard North'!$G:$G,MATCH($A17,'KPI Dashboard North'!$B:$B,0)),IF($C17="Physio_South",INDEX('KPI Dashboard South'!$G:$G,MATCH($A17,'KPI Dashboard South'!$B:$B,0)),INDEX('KPI Dashboard OT'!$G:$G,MATCH($A17,'KPI Dashboard OT'!$B:$B,0))))*$B17,"")</f>
        <v/>
      </c>
      <c r="I17" s="40">
        <f>IFERROR(IF($C17="Physio_North",INDEX('KPI Dashboard North'!$H:$H,MATCH($A17,'KPI Dashboard North'!$B:$B,0)),IF($C17="Physio_South",INDEX('KPI Dashboard South'!$H:$H,MATCH($A17,'KPI Dashboard South'!$B:$B,0)),INDEX('KPI Dashboard OT'!$H:$H,MATCH($A17,'KPI Dashboard OT'!$B:$B,0))))*$B17,"")</f>
        <v/>
      </c>
      <c r="J17" s="40">
        <f>IFERROR(IF($C17="Physio_North",INDEX('KPI Dashboard North'!$I:$I,MATCH($A17,'KPI Dashboard North'!$B:$B,0)),IF($C17="Physio_South",INDEX('KPI Dashboard South'!$I:$I,MATCH($A17,'KPI Dashboard South'!$B:$B,0)),INDEX('KPI Dashboard OT'!$I:$I,MATCH($A17,'KPI Dashboard OT'!$B:$B,0))))*$B17,"")</f>
        <v/>
      </c>
      <c r="K17" s="40">
        <f>IFERROR(IF($C17="Physio_North",INDEX('KPI Dashboard North'!$J:$J,MATCH($A17,'KPI Dashboard North'!$B:$B,0)),IF($C17="Physio_South",INDEX('KPI Dashboard South'!$J:$J,MATCH($A17,'KPI Dashboard South'!$B:$B,0)),INDEX('KPI Dashboard OT'!$J:$J,MATCH($A17,'KPI Dashboard OT'!$B:$B,0))))*$B17,"")</f>
        <v/>
      </c>
      <c r="L17" s="40">
        <f>IFERROR(IF($C17="Physio_North",INDEX('KPI Dashboard North'!$K:$K,MATCH($A17,'KPI Dashboard North'!$B:$B,0)),IF($C17="Physio_South",INDEX('KPI Dashboard South'!$K:$K,MATCH($A17,'KPI Dashboard South'!$B:$B,0)),INDEX('KPI Dashboard OT'!$K:$K,MATCH($A17,'KPI Dashboard OT'!$B:$B,0))))*$B17,"")</f>
        <v/>
      </c>
      <c r="M17" s="40">
        <f>IFERROR(IF($C17="Physio_North",INDEX('KPI Dashboard North'!$L:$L,MATCH($A17,'KPI Dashboard North'!$B:$B,0)),IF($C17="Physio_South",INDEX('KPI Dashboard South'!$L:$L,MATCH($A17,'KPI Dashboard South'!$B:$B,0)),INDEX('KPI Dashboard OT'!$L:$L,MATCH($A17,'KPI Dashboard OT'!$B:$B,0))))*$B17,"")</f>
        <v/>
      </c>
      <c r="N17" s="40">
        <f>IFERROR(IF($C17="Physio_North",INDEX('KPI Dashboard North'!$M:$M,MATCH($A17,'KPI Dashboard North'!$B:$B,0)),IF($C17="Physio_South",INDEX('KPI Dashboard South'!$M:$M,MATCH($A17,'KPI Dashboard South'!$B:$B,0)),INDEX('KPI Dashboard OT'!$M:$M,MATCH($A17,'KPI Dashboard OT'!$B:$B,0))))*$B17,"")</f>
        <v/>
      </c>
      <c r="O17" s="40">
        <f>IFERROR(IF($C17="Physio_North",INDEX('KPI Dashboard North'!$N:$N,MATCH($A17,'KPI Dashboard North'!$B:$B,0)),IF($C17="Physio_South",INDEX('KPI Dashboard South'!$N:$N,MATCH($A17,'KPI Dashboard South'!$B:$B,0)),INDEX('KPI Dashboard OT'!$N:$N,MATCH($A17,'KPI Dashboard OT'!$B:$B,0))))*$B17,"")</f>
        <v/>
      </c>
    </row>
    <row r="18">
      <c r="A18" s="158" t="inlineStr">
        <is>
          <t>Raj</t>
        </is>
      </c>
      <c r="B18" s="42" t="n">
        <v>1</v>
      </c>
      <c r="C18" s="164" t="inlineStr">
        <is>
          <t>Physio_South</t>
        </is>
      </c>
      <c r="D18" s="40">
        <f>IFERROR(IF($C18="Physio_North",INDEX('KPI Dashboard North'!$C:$C,MATCH($A18,'KPI Dashboard North'!$B:$B,0)),IF($C18="Physio_South",INDEX('KPI Dashboard South'!$C:$C,MATCH($A18,'KPI Dashboard South'!$B:$B,0)),INDEX('KPI Dashboard OT'!$C:$C,MATCH($A18,'KPI Dashboard OT'!$B:$B,0))))*B18,"")</f>
        <v/>
      </c>
      <c r="E18" s="40">
        <f>IFERROR(IF($C18="Physio_North",INDEX('KPI Dashboard North'!$D:$D,MATCH($A18,'KPI Dashboard North'!$B:$B,0)),IF($C18="Physio_South",INDEX('KPI Dashboard South'!$D:$D,MATCH($A18,'KPI Dashboard South'!$B:$B,0)),INDEX('KPI Dashboard OT'!$D:$D,MATCH($A18,'KPI Dashboard OT'!$B:$B,0))))*$B18,"")</f>
        <v/>
      </c>
      <c r="F18" s="40">
        <f>IFERROR(IF($C18="Physio_North",INDEX('KPI Dashboard North'!$E:$E,MATCH($A18,'KPI Dashboard North'!$B:$B,0)),IF($C18="Physio_South",INDEX('KPI Dashboard South'!$E:$E,MATCH($A18,'KPI Dashboard South'!$B:$B,0)),INDEX('KPI Dashboard OT'!$E:$E,MATCH($A18,'KPI Dashboard OT'!$B:$B,0))))*$B18,"")</f>
        <v/>
      </c>
      <c r="G18" s="40">
        <f>IFERROR(IF($C18="Physio_North",INDEX('KPI Dashboard North'!$F:$F,MATCH($A18,'KPI Dashboard North'!$B:$B,0)),IF($C18="Physio_South",INDEX('KPI Dashboard South'!$F:$F,MATCH($A18,'KPI Dashboard South'!$B:$B,0)),INDEX('KPI Dashboard OT'!$F:$F,MATCH($A18,'KPI Dashboard OT'!$B:$B,0))))*$B18,"")</f>
        <v/>
      </c>
      <c r="H18" s="40">
        <f>IFERROR(IF($C18="Physio_North",INDEX('KPI Dashboard North'!$G:$G,MATCH($A18,'KPI Dashboard North'!$B:$B,0)),IF($C18="Physio_South",INDEX('KPI Dashboard South'!$G:$G,MATCH($A18,'KPI Dashboard South'!$B:$B,0)),INDEX('KPI Dashboard OT'!$G:$G,MATCH($A18,'KPI Dashboard OT'!$B:$B,0))))*$B18,"")</f>
        <v/>
      </c>
      <c r="I18" s="40">
        <f>IFERROR(IF($C18="Physio_North",INDEX('KPI Dashboard North'!$H:$H,MATCH($A18,'KPI Dashboard North'!$B:$B,0)),IF($C18="Physio_South",INDEX('KPI Dashboard South'!$H:$H,MATCH($A18,'KPI Dashboard South'!$B:$B,0)),INDEX('KPI Dashboard OT'!$H:$H,MATCH($A18,'KPI Dashboard OT'!$B:$B,0))))*$B18,"")</f>
        <v/>
      </c>
      <c r="J18" s="40">
        <f>IFERROR(IF($C18="Physio_North",INDEX('KPI Dashboard North'!$I:$I,MATCH($A18,'KPI Dashboard North'!$B:$B,0)),IF($C18="Physio_South",INDEX('KPI Dashboard South'!$I:$I,MATCH($A18,'KPI Dashboard South'!$B:$B,0)),INDEX('KPI Dashboard OT'!$I:$I,MATCH($A18,'KPI Dashboard OT'!$B:$B,0))))*$B18,"")</f>
        <v/>
      </c>
      <c r="K18" s="40">
        <f>IFERROR(IF($C18="Physio_North",INDEX('KPI Dashboard North'!$J:$J,MATCH($A18,'KPI Dashboard North'!$B:$B,0)),IF($C18="Physio_South",INDEX('KPI Dashboard South'!$J:$J,MATCH($A18,'KPI Dashboard South'!$B:$B,0)),INDEX('KPI Dashboard OT'!$J:$J,MATCH($A18,'KPI Dashboard OT'!$B:$B,0))))*$B18,"")</f>
        <v/>
      </c>
      <c r="L18" s="40">
        <f>IFERROR(IF($C18="Physio_North",INDEX('KPI Dashboard North'!$K:$K,MATCH($A18,'KPI Dashboard North'!$B:$B,0)),IF($C18="Physio_South",INDEX('KPI Dashboard South'!$K:$K,MATCH($A18,'KPI Dashboard South'!$B:$B,0)),INDEX('KPI Dashboard OT'!$K:$K,MATCH($A18,'KPI Dashboard OT'!$B:$B,0))))*$B18,"")</f>
        <v/>
      </c>
      <c r="M18" s="40">
        <f>IFERROR(IF($C18="Physio_North",INDEX('KPI Dashboard North'!$L:$L,MATCH($A18,'KPI Dashboard North'!$B:$B,0)),IF($C18="Physio_South",INDEX('KPI Dashboard South'!$L:$L,MATCH($A18,'KPI Dashboard South'!$B:$B,0)),INDEX('KPI Dashboard OT'!$L:$L,MATCH($A18,'KPI Dashboard OT'!$B:$B,0))))*$B18,"")</f>
        <v/>
      </c>
      <c r="N18" s="40">
        <f>IFERROR(IF($C18="Physio_North",INDEX('KPI Dashboard North'!$M:$M,MATCH($A18,'KPI Dashboard North'!$B:$B,0)),IF($C18="Physio_South",INDEX('KPI Dashboard South'!$M:$M,MATCH($A18,'KPI Dashboard South'!$B:$B,0)),INDEX('KPI Dashboard OT'!$M:$M,MATCH($A18,'KPI Dashboard OT'!$B:$B,0))))*$B18,"")</f>
        <v/>
      </c>
      <c r="O18" s="40">
        <f>IFERROR(IF($C18="Physio_North",INDEX('KPI Dashboard North'!$N:$N,MATCH($A18,'KPI Dashboard North'!$B:$B,0)),IF($C18="Physio_South",INDEX('KPI Dashboard South'!$N:$N,MATCH($A18,'KPI Dashboard South'!$B:$B,0)),INDEX('KPI Dashboard OT'!$N:$N,MATCH($A18,'KPI Dashboard OT'!$B:$B,0))))*$B18,"")</f>
        <v/>
      </c>
    </row>
    <row r="19">
      <c r="A19" s="158" t="inlineStr">
        <is>
          <t>Steph</t>
        </is>
      </c>
      <c r="B19" s="42" t="n">
        <v>1</v>
      </c>
      <c r="C19" s="164" t="inlineStr">
        <is>
          <t>Physio_South</t>
        </is>
      </c>
      <c r="D19" s="40">
        <f>IFERROR(IF($C19="Physio_North",INDEX('KPI Dashboard North'!$C:$C,MATCH($A19,'KPI Dashboard North'!$B:$B,0)),IF($C19="Physio_South",INDEX('KPI Dashboard South'!$C:$C,MATCH($A19,'KPI Dashboard South'!$B:$B,0)),INDEX('KPI Dashboard OT'!$C:$C,MATCH($A19,'KPI Dashboard OT'!$B:$B,0))))*B19,"")</f>
        <v/>
      </c>
      <c r="E19" s="40">
        <f>IFERROR(IF($C19="Physio_North",INDEX('KPI Dashboard North'!$D:$D,MATCH($A19,'KPI Dashboard North'!$B:$B,0)),IF($C19="Physio_South",INDEX('KPI Dashboard South'!$D:$D,MATCH($A19,'KPI Dashboard South'!$B:$B,0)),INDEX('KPI Dashboard OT'!$D:$D,MATCH($A19,'KPI Dashboard OT'!$B:$B,0))))*$B19,"")</f>
        <v/>
      </c>
      <c r="F19" s="40">
        <f>IFERROR(IF($C19="Physio_North",INDEX('KPI Dashboard North'!$E:$E,MATCH($A19,'KPI Dashboard North'!$B:$B,0)),IF($C19="Physio_South",INDEX('KPI Dashboard South'!$E:$E,MATCH($A19,'KPI Dashboard South'!$B:$B,0)),INDEX('KPI Dashboard OT'!$E:$E,MATCH($A19,'KPI Dashboard OT'!$B:$B,0))))*$B19,"")</f>
        <v/>
      </c>
      <c r="G19" s="40">
        <f>IFERROR(IF($C19="Physio_North",INDEX('KPI Dashboard North'!$F:$F,MATCH($A19,'KPI Dashboard North'!$B:$B,0)),IF($C19="Physio_South",INDEX('KPI Dashboard South'!$F:$F,MATCH($A19,'KPI Dashboard South'!$B:$B,0)),INDEX('KPI Dashboard OT'!$F:$F,MATCH($A19,'KPI Dashboard OT'!$B:$B,0))))*$B19,"")</f>
        <v/>
      </c>
      <c r="H19" s="40">
        <f>IFERROR(IF($C19="Physio_North",INDEX('KPI Dashboard North'!$G:$G,MATCH($A19,'KPI Dashboard North'!$B:$B,0)),IF($C19="Physio_South",INDEX('KPI Dashboard South'!$G:$G,MATCH($A19,'KPI Dashboard South'!$B:$B,0)),INDEX('KPI Dashboard OT'!$G:$G,MATCH($A19,'KPI Dashboard OT'!$B:$B,0))))*$B19,"")</f>
        <v/>
      </c>
      <c r="I19" s="40">
        <f>IFERROR(IF($C19="Physio_North",INDEX('KPI Dashboard North'!$H:$H,MATCH($A19,'KPI Dashboard North'!$B:$B,0)),IF($C19="Physio_South",INDEX('KPI Dashboard South'!$H:$H,MATCH($A19,'KPI Dashboard South'!$B:$B,0)),INDEX('KPI Dashboard OT'!$H:$H,MATCH($A19,'KPI Dashboard OT'!$B:$B,0))))*$B19,"")</f>
        <v/>
      </c>
      <c r="J19" s="40">
        <f>IFERROR(IF($C19="Physio_North",INDEX('KPI Dashboard North'!$I:$I,MATCH($A19,'KPI Dashboard North'!$B:$B,0)),IF($C19="Physio_South",INDEX('KPI Dashboard South'!$I:$I,MATCH($A19,'KPI Dashboard South'!$B:$B,0)),INDEX('KPI Dashboard OT'!$I:$I,MATCH($A19,'KPI Dashboard OT'!$B:$B,0))))*$B19,"")</f>
        <v/>
      </c>
      <c r="K19" s="40">
        <f>IFERROR(IF($C19="Physio_North",INDEX('KPI Dashboard North'!$J:$J,MATCH($A19,'KPI Dashboard North'!$B:$B,0)),IF($C19="Physio_South",INDEX('KPI Dashboard South'!$J:$J,MATCH($A19,'KPI Dashboard South'!$B:$B,0)),INDEX('KPI Dashboard OT'!$J:$J,MATCH($A19,'KPI Dashboard OT'!$B:$B,0))))*$B19,"")</f>
        <v/>
      </c>
      <c r="L19" s="40">
        <f>IFERROR(IF($C19="Physio_North",INDEX('KPI Dashboard North'!$K:$K,MATCH($A19,'KPI Dashboard North'!$B:$B,0)),IF($C19="Physio_South",INDEX('KPI Dashboard South'!$K:$K,MATCH($A19,'KPI Dashboard South'!$B:$B,0)),INDEX('KPI Dashboard OT'!$K:$K,MATCH($A19,'KPI Dashboard OT'!$B:$B,0))))*$B19,"")</f>
        <v/>
      </c>
      <c r="M19" s="40">
        <f>IFERROR(IF($C19="Physio_North",INDEX('KPI Dashboard North'!$L:$L,MATCH($A19,'KPI Dashboard North'!$B:$B,0)),IF($C19="Physio_South",INDEX('KPI Dashboard South'!$L:$L,MATCH($A19,'KPI Dashboard South'!$B:$B,0)),INDEX('KPI Dashboard OT'!$L:$L,MATCH($A19,'KPI Dashboard OT'!$B:$B,0))))*$B19,"")</f>
        <v/>
      </c>
      <c r="N19" s="40">
        <f>IFERROR(IF($C19="Physio_North",INDEX('KPI Dashboard North'!$M:$M,MATCH($A19,'KPI Dashboard North'!$B:$B,0)),IF($C19="Physio_South",INDEX('KPI Dashboard South'!$M:$M,MATCH($A19,'KPI Dashboard South'!$B:$B,0)),INDEX('KPI Dashboard OT'!$M:$M,MATCH($A19,'KPI Dashboard OT'!$B:$B,0))))*$B19,"")</f>
        <v/>
      </c>
      <c r="O19" s="40">
        <f>IFERROR(IF($C19="Physio_North",INDEX('KPI Dashboard North'!$N:$N,MATCH($A19,'KPI Dashboard North'!$B:$B,0)),IF($C19="Physio_South",INDEX('KPI Dashboard South'!$N:$N,MATCH($A19,'KPI Dashboard South'!$B:$B,0)),INDEX('KPI Dashboard OT'!$N:$N,MATCH($A19,'KPI Dashboard OT'!$B:$B,0))))*$B19,"")</f>
        <v/>
      </c>
    </row>
    <row r="20">
      <c r="A20" s="158" t="inlineStr">
        <is>
          <t>Vincent</t>
        </is>
      </c>
      <c r="B20" s="42" t="n">
        <v>0.8</v>
      </c>
      <c r="C20" s="164" t="inlineStr">
        <is>
          <t>Physio_South</t>
        </is>
      </c>
      <c r="D20" s="40">
        <f>IFERROR(IF($C20="Physio_North",INDEX('KPI Dashboard North'!$C:$C,MATCH($A20,'KPI Dashboard North'!$B:$B,0)),IF($C20="Physio_South",INDEX('KPI Dashboard South'!$C:$C,MATCH($A20,'KPI Dashboard South'!$B:$B,0)),INDEX('KPI Dashboard OT'!$C:$C,MATCH($A20,'KPI Dashboard OT'!$B:$B,0))))*B20,"")</f>
        <v/>
      </c>
      <c r="E20" s="40">
        <f>IFERROR(IF($C20="Physio_North",INDEX('KPI Dashboard North'!$D:$D,MATCH($A20,'KPI Dashboard North'!$B:$B,0)),IF($C20="Physio_South",INDEX('KPI Dashboard South'!$D:$D,MATCH($A20,'KPI Dashboard South'!$B:$B,0)),INDEX('KPI Dashboard OT'!$D:$D,MATCH($A20,'KPI Dashboard OT'!$B:$B,0))))*$B20,"")</f>
        <v/>
      </c>
      <c r="F20" s="40">
        <f>IFERROR(IF($C20="Physio_North",INDEX('KPI Dashboard North'!$E:$E,MATCH($A20,'KPI Dashboard North'!$B:$B,0)),IF($C20="Physio_South",INDEX('KPI Dashboard South'!$E:$E,MATCH($A20,'KPI Dashboard South'!$B:$B,0)),INDEX('KPI Dashboard OT'!$E:$E,MATCH($A20,'KPI Dashboard OT'!$B:$B,0))))*$B20,"")</f>
        <v/>
      </c>
      <c r="G20" s="40">
        <f>IFERROR(IF($C20="Physio_North",INDEX('KPI Dashboard North'!$F:$F,MATCH($A20,'KPI Dashboard North'!$B:$B,0)),IF($C20="Physio_South",INDEX('KPI Dashboard South'!$F:$F,MATCH($A20,'KPI Dashboard South'!$B:$B,0)),INDEX('KPI Dashboard OT'!$F:$F,MATCH($A20,'KPI Dashboard OT'!$B:$B,0))))*$B20,"")</f>
        <v/>
      </c>
      <c r="H20" s="40">
        <f>IFERROR(IF($C20="Physio_North",INDEX('KPI Dashboard North'!$G:$G,MATCH($A20,'KPI Dashboard North'!$B:$B,0)),IF($C20="Physio_South",INDEX('KPI Dashboard South'!$G:$G,MATCH($A20,'KPI Dashboard South'!$B:$B,0)),INDEX('KPI Dashboard OT'!$G:$G,MATCH($A20,'KPI Dashboard OT'!$B:$B,0))))*$B20,"")</f>
        <v/>
      </c>
      <c r="I20" s="40">
        <f>IFERROR(IF($C20="Physio_North",INDEX('KPI Dashboard North'!$H:$H,MATCH($A20,'KPI Dashboard North'!$B:$B,0)),IF($C20="Physio_South",INDEX('KPI Dashboard South'!$H:$H,MATCH($A20,'KPI Dashboard South'!$B:$B,0)),INDEX('KPI Dashboard OT'!$H:$H,MATCH($A20,'KPI Dashboard OT'!$B:$B,0))))*$B20,"")</f>
        <v/>
      </c>
      <c r="J20" s="40">
        <f>IFERROR(IF($C20="Physio_North",INDEX('KPI Dashboard North'!$I:$I,MATCH($A20,'KPI Dashboard North'!$B:$B,0)),IF($C20="Physio_South",INDEX('KPI Dashboard South'!$I:$I,MATCH($A20,'KPI Dashboard South'!$B:$B,0)),INDEX('KPI Dashboard OT'!$I:$I,MATCH($A20,'KPI Dashboard OT'!$B:$B,0))))*$B20,"")</f>
        <v/>
      </c>
      <c r="K20" s="40">
        <f>IFERROR(IF($C20="Physio_North",INDEX('KPI Dashboard North'!$J:$J,MATCH($A20,'KPI Dashboard North'!$B:$B,0)),IF($C20="Physio_South",INDEX('KPI Dashboard South'!$J:$J,MATCH($A20,'KPI Dashboard South'!$B:$B,0)),INDEX('KPI Dashboard OT'!$J:$J,MATCH($A20,'KPI Dashboard OT'!$B:$B,0))))*$B20,"")</f>
        <v/>
      </c>
      <c r="L20" s="40">
        <f>IFERROR(IF($C20="Physio_North",INDEX('KPI Dashboard North'!$K:$K,MATCH($A20,'KPI Dashboard North'!$B:$B,0)),IF($C20="Physio_South",INDEX('KPI Dashboard South'!$K:$K,MATCH($A20,'KPI Dashboard South'!$B:$B,0)),INDEX('KPI Dashboard OT'!$K:$K,MATCH($A20,'KPI Dashboard OT'!$B:$B,0))))*$B20,"")</f>
        <v/>
      </c>
      <c r="M20" s="40">
        <f>IFERROR(IF($C20="Physio_North",INDEX('KPI Dashboard North'!$L:$L,MATCH($A20,'KPI Dashboard North'!$B:$B,0)),IF($C20="Physio_South",INDEX('KPI Dashboard South'!$L:$L,MATCH($A20,'KPI Dashboard South'!$B:$B,0)),INDEX('KPI Dashboard OT'!$L:$L,MATCH($A20,'KPI Dashboard OT'!$B:$B,0))))*$B20,"")</f>
        <v/>
      </c>
      <c r="N20" s="40">
        <f>IFERROR(IF($C20="Physio_North",INDEX('KPI Dashboard North'!$M:$M,MATCH($A20,'KPI Dashboard North'!$B:$B,0)),IF($C20="Physio_South",INDEX('KPI Dashboard South'!$M:$M,MATCH($A20,'KPI Dashboard South'!$B:$B,0)),INDEX('KPI Dashboard OT'!$M:$M,MATCH($A20,'KPI Dashboard OT'!$B:$B,0))))*$B20,"")</f>
        <v/>
      </c>
      <c r="O20" s="40">
        <f>IFERROR(IF($C20="Physio_North",INDEX('KPI Dashboard North'!$N:$N,MATCH($A20,'KPI Dashboard North'!$B:$B,0)),IF($C20="Physio_South",INDEX('KPI Dashboard South'!$N:$N,MATCH($A20,'KPI Dashboard South'!$B:$B,0)),INDEX('KPI Dashboard OT'!$N:$N,MATCH($A20,'KPI Dashboard OT'!$B:$B,0))))*$B20,"")</f>
        <v/>
      </c>
    </row>
    <row r="21">
      <c r="A21" s="158" t="inlineStr">
        <is>
          <t>Kate</t>
        </is>
      </c>
      <c r="B21" s="42" t="n">
        <v>1</v>
      </c>
      <c r="C21" s="164" t="inlineStr">
        <is>
          <t>Physio_South</t>
        </is>
      </c>
      <c r="D21" s="40">
        <f>IFERROR(IF($C21="Physio_North",INDEX('KPI Dashboard North'!$C:$C,MATCH($A21,'KPI Dashboard North'!$B:$B,0)),IF($C21="Physio_South",INDEX('KPI Dashboard South'!$C:$C,MATCH($A21,'KPI Dashboard South'!$B:$B,0)),INDEX('KPI Dashboard OT'!$C:$C,MATCH($A21,'KPI Dashboard OT'!$B:$B,0))))*B21,"")</f>
        <v/>
      </c>
      <c r="E21" s="40">
        <f>IFERROR(IF($C21="Physio_North",INDEX('KPI Dashboard North'!$D:$D,MATCH($A21,'KPI Dashboard North'!$B:$B,0)),IF($C21="Physio_South",INDEX('KPI Dashboard South'!$D:$D,MATCH($A21,'KPI Dashboard South'!$B:$B,0)),INDEX('KPI Dashboard OT'!$D:$D,MATCH($A21,'KPI Dashboard OT'!$B:$B,0))))*$B21,"")</f>
        <v/>
      </c>
      <c r="F21" s="40">
        <f>IFERROR(IF($C21="Physio_North",INDEX('KPI Dashboard North'!$E:$E,MATCH($A21,'KPI Dashboard North'!$B:$B,0)),IF($C21="Physio_South",INDEX('KPI Dashboard South'!$E:$E,MATCH($A21,'KPI Dashboard South'!$B:$B,0)),INDEX('KPI Dashboard OT'!$E:$E,MATCH($A21,'KPI Dashboard OT'!$B:$B,0))))*$B21,"")</f>
        <v/>
      </c>
      <c r="G21" s="40">
        <f>IFERROR(IF($C21="Physio_North",INDEX('KPI Dashboard North'!$F:$F,MATCH($A21,'KPI Dashboard North'!$B:$B,0)),IF($C21="Physio_South",INDEX('KPI Dashboard South'!$F:$F,MATCH($A21,'KPI Dashboard South'!$B:$B,0)),INDEX('KPI Dashboard OT'!$F:$F,MATCH($A21,'KPI Dashboard OT'!$B:$B,0))))*$B21,"")</f>
        <v/>
      </c>
      <c r="H21" s="40">
        <f>IFERROR(IF($C21="Physio_North",INDEX('KPI Dashboard North'!$G:$G,MATCH($A21,'KPI Dashboard North'!$B:$B,0)),IF($C21="Physio_South",INDEX('KPI Dashboard South'!$G:$G,MATCH($A21,'KPI Dashboard South'!$B:$B,0)),INDEX('KPI Dashboard OT'!$G:$G,MATCH($A21,'KPI Dashboard OT'!$B:$B,0))))*$B21,"")</f>
        <v/>
      </c>
      <c r="I21" s="40">
        <f>IFERROR(IF($C21="Physio_North",INDEX('KPI Dashboard North'!$H:$H,MATCH($A21,'KPI Dashboard North'!$B:$B,0)),IF($C21="Physio_South",INDEX('KPI Dashboard South'!$H:$H,MATCH($A21,'KPI Dashboard South'!$B:$B,0)),INDEX('KPI Dashboard OT'!$H:$H,MATCH($A21,'KPI Dashboard OT'!$B:$B,0))))*$B21,"")</f>
        <v/>
      </c>
      <c r="J21" s="40">
        <f>IFERROR(IF($C21="Physio_North",INDEX('KPI Dashboard North'!$I:$I,MATCH($A21,'KPI Dashboard North'!$B:$B,0)),IF($C21="Physio_South",INDEX('KPI Dashboard South'!$I:$I,MATCH($A21,'KPI Dashboard South'!$B:$B,0)),INDEX('KPI Dashboard OT'!$I:$I,MATCH($A21,'KPI Dashboard OT'!$B:$B,0))))*$B21,"")</f>
        <v/>
      </c>
      <c r="K21" s="40">
        <f>IFERROR(IF($C21="Physio_North",INDEX('KPI Dashboard North'!$J:$J,MATCH($A21,'KPI Dashboard North'!$B:$B,0)),IF($C21="Physio_South",INDEX('KPI Dashboard South'!$J:$J,MATCH($A21,'KPI Dashboard South'!$B:$B,0)),INDEX('KPI Dashboard OT'!$J:$J,MATCH($A21,'KPI Dashboard OT'!$B:$B,0))))*$B21,"")</f>
        <v/>
      </c>
      <c r="L21" s="40">
        <f>IFERROR(IF($C21="Physio_North",INDEX('KPI Dashboard North'!$K:$K,MATCH($A21,'KPI Dashboard North'!$B:$B,0)),IF($C21="Physio_South",INDEX('KPI Dashboard South'!$K:$K,MATCH($A21,'KPI Dashboard South'!$B:$B,0)),INDEX('KPI Dashboard OT'!$K:$K,MATCH($A21,'KPI Dashboard OT'!$B:$B,0))))*$B21,"")</f>
        <v/>
      </c>
      <c r="M21" s="40">
        <f>IFERROR(IF($C21="Physio_North",INDEX('KPI Dashboard North'!$L:$L,MATCH($A21,'KPI Dashboard North'!$B:$B,0)),IF($C21="Physio_South",INDEX('KPI Dashboard South'!$L:$L,MATCH($A21,'KPI Dashboard South'!$B:$B,0)),INDEX('KPI Dashboard OT'!$L:$L,MATCH($A21,'KPI Dashboard OT'!$B:$B,0))))*$B21,"")</f>
        <v/>
      </c>
      <c r="N21" s="40">
        <f>IFERROR(IF($C21="Physio_North",INDEX('KPI Dashboard North'!$M:$M,MATCH($A21,'KPI Dashboard North'!$B:$B,0)),IF($C21="Physio_South",INDEX('KPI Dashboard South'!$M:$M,MATCH($A21,'KPI Dashboard South'!$B:$B,0)),INDEX('KPI Dashboard OT'!$M:$M,MATCH($A21,'KPI Dashboard OT'!$B:$B,0))))*$B21,"")</f>
        <v/>
      </c>
      <c r="O21" s="40">
        <f>IFERROR(IF($C21="Physio_North",INDEX('KPI Dashboard North'!$N:$N,MATCH($A21,'KPI Dashboard North'!$B:$B,0)),IF($C21="Physio_South",INDEX('KPI Dashboard South'!$N:$N,MATCH($A21,'KPI Dashboard South'!$B:$B,0)),INDEX('KPI Dashboard OT'!$N:$N,MATCH($A21,'KPI Dashboard OT'!$B:$B,0))))*$B21,"")</f>
        <v/>
      </c>
    </row>
    <row r="22">
      <c r="A22" s="158" t="inlineStr">
        <is>
          <t>Shirley</t>
        </is>
      </c>
      <c r="B22" s="42" t="n">
        <v>1</v>
      </c>
      <c r="C22" s="164" t="inlineStr">
        <is>
          <t>Physio_South</t>
        </is>
      </c>
      <c r="D22" s="40">
        <f>IFERROR(IF($C22="Physio_North",INDEX('KPI Dashboard North'!$C:$C,MATCH($A22,'KPI Dashboard North'!$B:$B,0)),IF($C22="Physio_South",INDEX('KPI Dashboard South'!$C:$C,MATCH($A22,'KPI Dashboard South'!$B:$B,0)),INDEX('KPI Dashboard OT'!$C:$C,MATCH($A22,'KPI Dashboard OT'!$B:$B,0))))*B22,"")</f>
        <v/>
      </c>
      <c r="E22" s="40">
        <f>IFERROR(IF($C22="Physio_North",INDEX('KPI Dashboard North'!$D:$D,MATCH($A22,'KPI Dashboard North'!$B:$B,0)),IF($C22="Physio_South",INDEX('KPI Dashboard South'!$D:$D,MATCH($A22,'KPI Dashboard South'!$B:$B,0)),INDEX('KPI Dashboard OT'!$D:$D,MATCH($A22,'KPI Dashboard OT'!$B:$B,0))))*$B22,"")</f>
        <v/>
      </c>
      <c r="F22" s="40">
        <f>IFERROR(IF($C22="Physio_North",INDEX('KPI Dashboard North'!$E:$E,MATCH($A22,'KPI Dashboard North'!$B:$B,0)),IF($C22="Physio_South",INDEX('KPI Dashboard South'!$E:$E,MATCH($A22,'KPI Dashboard South'!$B:$B,0)),INDEX('KPI Dashboard OT'!$E:$E,MATCH($A22,'KPI Dashboard OT'!$B:$B,0))))*$B22,"")</f>
        <v/>
      </c>
      <c r="G22" s="40">
        <f>IFERROR(IF($C22="Physio_North",INDEX('KPI Dashboard North'!$F:$F,MATCH($A22,'KPI Dashboard North'!$B:$B,0)),IF($C22="Physio_South",INDEX('KPI Dashboard South'!$F:$F,MATCH($A22,'KPI Dashboard South'!$B:$B,0)),INDEX('KPI Dashboard OT'!$F:$F,MATCH($A22,'KPI Dashboard OT'!$B:$B,0))))*$B22,"")</f>
        <v/>
      </c>
      <c r="H22" s="40">
        <f>IFERROR(IF($C22="Physio_North",INDEX('KPI Dashboard North'!$G:$G,MATCH($A22,'KPI Dashboard North'!$B:$B,0)),IF($C22="Physio_South",INDEX('KPI Dashboard South'!$G:$G,MATCH($A22,'KPI Dashboard South'!$B:$B,0)),INDEX('KPI Dashboard OT'!$G:$G,MATCH($A22,'KPI Dashboard OT'!$B:$B,0))))*$B22,"")</f>
        <v/>
      </c>
      <c r="I22" s="40">
        <f>IFERROR(IF($C22="Physio_North",INDEX('KPI Dashboard North'!$H:$H,MATCH($A22,'KPI Dashboard North'!$B:$B,0)),IF($C22="Physio_South",INDEX('KPI Dashboard South'!$H:$H,MATCH($A22,'KPI Dashboard South'!$B:$B,0)),INDEX('KPI Dashboard OT'!$H:$H,MATCH($A22,'KPI Dashboard OT'!$B:$B,0))))*$B22,"")</f>
        <v/>
      </c>
      <c r="J22" s="40">
        <f>IFERROR(IF($C22="Physio_North",INDEX('KPI Dashboard North'!$I:$I,MATCH($A22,'KPI Dashboard North'!$B:$B,0)),IF($C22="Physio_South",INDEX('KPI Dashboard South'!$I:$I,MATCH($A22,'KPI Dashboard South'!$B:$B,0)),INDEX('KPI Dashboard OT'!$I:$I,MATCH($A22,'KPI Dashboard OT'!$B:$B,0))))*$B22,"")</f>
        <v/>
      </c>
      <c r="K22" s="40">
        <f>IFERROR(IF($C22="Physio_North",INDEX('KPI Dashboard North'!$J:$J,MATCH($A22,'KPI Dashboard North'!$B:$B,0)),IF($C22="Physio_South",INDEX('KPI Dashboard South'!$J:$J,MATCH($A22,'KPI Dashboard South'!$B:$B,0)),INDEX('KPI Dashboard OT'!$J:$J,MATCH($A22,'KPI Dashboard OT'!$B:$B,0))))*$B22,"")</f>
        <v/>
      </c>
      <c r="L22" s="40">
        <f>IFERROR(IF($C22="Physio_North",INDEX('KPI Dashboard North'!$K:$K,MATCH($A22,'KPI Dashboard North'!$B:$B,0)),IF($C22="Physio_South",INDEX('KPI Dashboard South'!$K:$K,MATCH($A22,'KPI Dashboard South'!$B:$B,0)),INDEX('KPI Dashboard OT'!$K:$K,MATCH($A22,'KPI Dashboard OT'!$B:$B,0))))*$B22,"")</f>
        <v/>
      </c>
      <c r="M22" s="40">
        <f>IFERROR(IF($C22="Physio_North",INDEX('KPI Dashboard North'!$L:$L,MATCH($A22,'KPI Dashboard North'!$B:$B,0)),IF($C22="Physio_South",INDEX('KPI Dashboard South'!$L:$L,MATCH($A22,'KPI Dashboard South'!$B:$B,0)),INDEX('KPI Dashboard OT'!$L:$L,MATCH($A22,'KPI Dashboard OT'!$B:$B,0))))*$B22,"")</f>
        <v/>
      </c>
      <c r="N22" s="40">
        <f>IFERROR(IF($C22="Physio_North",INDEX('KPI Dashboard North'!$M:$M,MATCH($A22,'KPI Dashboard North'!$B:$B,0)),IF($C22="Physio_South",INDEX('KPI Dashboard South'!$M:$M,MATCH($A22,'KPI Dashboard South'!$B:$B,0)),INDEX('KPI Dashboard OT'!$M:$M,MATCH($A22,'KPI Dashboard OT'!$B:$B,0))))*$B22,"")</f>
        <v/>
      </c>
      <c r="O22" s="40">
        <f>IFERROR(IF($C22="Physio_North",INDEX('KPI Dashboard North'!$N:$N,MATCH($A22,'KPI Dashboard North'!$B:$B,0)),IF($C22="Physio_South",INDEX('KPI Dashboard South'!$N:$N,MATCH($A22,'KPI Dashboard South'!$B:$B,0)),INDEX('KPI Dashboard OT'!$N:$N,MATCH($A22,'KPI Dashboard OT'!$B:$B,0))))*$B22,"")</f>
        <v/>
      </c>
    </row>
    <row r="23">
      <c r="A23" s="158" t="inlineStr">
        <is>
          <t>Josephine</t>
        </is>
      </c>
      <c r="B23" s="42" t="n">
        <v>1</v>
      </c>
      <c r="C23" s="164" t="inlineStr">
        <is>
          <t>OT</t>
        </is>
      </c>
      <c r="D23" s="40">
        <f>IFERROR(IF($C23="Physio_North",INDEX('KPI Dashboard North'!$C:$C,MATCH($A23,'KPI Dashboard North'!$B:$B,0)),IF($C23="Physio_South",INDEX('KPI Dashboard South'!$C:$C,MATCH($A23,'KPI Dashboard South'!$B:$B,0)),INDEX('KPI Dashboard OT'!$C:$C,MATCH($A23,'KPI Dashboard OT'!$B:$B,0))))*B23,"")</f>
        <v/>
      </c>
      <c r="E23" s="40">
        <f>IFERROR(IF($C23="Physio_North",INDEX('KPI Dashboard North'!$D:$D,MATCH($A23,'KPI Dashboard North'!$B:$B,0)),IF($C23="Physio_South",INDEX('KPI Dashboard South'!$D:$D,MATCH($A23,'KPI Dashboard South'!$B:$B,0)),INDEX('KPI Dashboard OT'!$D:$D,MATCH($A23,'KPI Dashboard OT'!$B:$B,0))))*$B23,"")</f>
        <v/>
      </c>
      <c r="F23" s="40">
        <f>IFERROR(IF($C23="Physio_North",INDEX('KPI Dashboard North'!$E:$E,MATCH($A23,'KPI Dashboard North'!$B:$B,0)),IF($C23="Physio_South",INDEX('KPI Dashboard South'!$E:$E,MATCH($A23,'KPI Dashboard South'!$B:$B,0)),INDEX('KPI Dashboard OT'!$E:$E,MATCH($A23,'KPI Dashboard OT'!$B:$B,0))))*$B23,"")</f>
        <v/>
      </c>
      <c r="G23" s="40">
        <f>IFERROR(IF($C23="Physio_North",INDEX('KPI Dashboard North'!$F:$F,MATCH($A23,'KPI Dashboard North'!$B:$B,0)),IF($C23="Physio_South",INDEX('KPI Dashboard South'!$F:$F,MATCH($A23,'KPI Dashboard South'!$B:$B,0)),INDEX('KPI Dashboard OT'!$F:$F,MATCH($A23,'KPI Dashboard OT'!$B:$B,0))))*$B23,"")</f>
        <v/>
      </c>
      <c r="H23" s="40">
        <f>IFERROR(IF($C23="Physio_North",INDEX('KPI Dashboard North'!$G:$G,MATCH($A23,'KPI Dashboard North'!$B:$B,0)),IF($C23="Physio_South",INDEX('KPI Dashboard South'!$G:$G,MATCH($A23,'KPI Dashboard South'!$B:$B,0)),INDEX('KPI Dashboard OT'!$G:$G,MATCH($A23,'KPI Dashboard OT'!$B:$B,0))))*$B23,"")</f>
        <v/>
      </c>
      <c r="I23" s="40">
        <f>IFERROR(IF($C23="Physio_North",INDEX('KPI Dashboard North'!$H:$H,MATCH($A23,'KPI Dashboard North'!$B:$B,0)),IF($C23="Physio_South",INDEX('KPI Dashboard South'!$H:$H,MATCH($A23,'KPI Dashboard South'!$B:$B,0)),INDEX('KPI Dashboard OT'!$H:$H,MATCH($A23,'KPI Dashboard OT'!$B:$B,0))))*$B23,"")</f>
        <v/>
      </c>
      <c r="J23" s="40">
        <f>IFERROR(IF($C23="Physio_North",INDEX('KPI Dashboard North'!$I:$I,MATCH($A23,'KPI Dashboard North'!$B:$B,0)),IF($C23="Physio_South",INDEX('KPI Dashboard South'!$I:$I,MATCH($A23,'KPI Dashboard South'!$B:$B,0)),INDEX('KPI Dashboard OT'!$I:$I,MATCH($A23,'KPI Dashboard OT'!$B:$B,0))))*$B23,"")</f>
        <v/>
      </c>
      <c r="K23" s="40">
        <f>IFERROR(IF($C23="Physio_North",INDEX('KPI Dashboard North'!$J:$J,MATCH($A23,'KPI Dashboard North'!$B:$B,0)),IF($C23="Physio_South",INDEX('KPI Dashboard South'!$J:$J,MATCH($A23,'KPI Dashboard South'!$B:$B,0)),INDEX('KPI Dashboard OT'!$J:$J,MATCH($A23,'KPI Dashboard OT'!$B:$B,0))))*$B23,"")</f>
        <v/>
      </c>
      <c r="L23" s="40">
        <f>IFERROR(IF($C23="Physio_North",INDEX('KPI Dashboard North'!$K:$K,MATCH($A23,'KPI Dashboard North'!$B:$B,0)),IF($C23="Physio_South",INDEX('KPI Dashboard South'!$K:$K,MATCH($A23,'KPI Dashboard South'!$B:$B,0)),INDEX('KPI Dashboard OT'!$K:$K,MATCH($A23,'KPI Dashboard OT'!$B:$B,0))))*$B23,"")</f>
        <v/>
      </c>
      <c r="M23" s="40">
        <f>IFERROR(IF($C23="Physio_North",INDEX('KPI Dashboard North'!$L:$L,MATCH($A23,'KPI Dashboard North'!$B:$B,0)),IF($C23="Physio_South",INDEX('KPI Dashboard South'!$L:$L,MATCH($A23,'KPI Dashboard South'!$B:$B,0)),INDEX('KPI Dashboard OT'!$L:$L,MATCH($A23,'KPI Dashboard OT'!$B:$B,0))))*$B23,"")</f>
        <v/>
      </c>
      <c r="N23" s="40">
        <f>IFERROR(IF($C23="Physio_North",INDEX('KPI Dashboard North'!$M:$M,MATCH($A23,'KPI Dashboard North'!$B:$B,0)),IF($C23="Physio_South",INDEX('KPI Dashboard South'!$M:$M,MATCH($A23,'KPI Dashboard South'!$B:$B,0)),INDEX('KPI Dashboard OT'!$M:$M,MATCH($A23,'KPI Dashboard OT'!$B:$B,0))))*$B23,"")</f>
        <v/>
      </c>
      <c r="O23" s="40">
        <f>IFERROR(IF($C23="Physio_North",INDEX('KPI Dashboard North'!$N:$N,MATCH($A23,'KPI Dashboard North'!$B:$B,0)),IF($C23="Physio_South",INDEX('KPI Dashboard South'!$N:$N,MATCH($A23,'KPI Dashboard South'!$B:$B,0)),INDEX('KPI Dashboard OT'!$N:$N,MATCH($A23,'KPI Dashboard OT'!$B:$B,0))))*$B23,"")</f>
        <v/>
      </c>
    </row>
    <row r="24">
      <c r="A24" s="158" t="inlineStr">
        <is>
          <t>Caitlin</t>
        </is>
      </c>
      <c r="B24" s="42" t="n">
        <v>1</v>
      </c>
      <c r="C24" s="164" t="inlineStr">
        <is>
          <t>OT</t>
        </is>
      </c>
      <c r="D24" s="40">
        <f>IFERROR(IF($C24="Physio_North",INDEX('KPI Dashboard North'!$C:$C,MATCH($A24,'KPI Dashboard North'!$B:$B,0)),IF($C24="Physio_South",INDEX('KPI Dashboard South'!$C:$C,MATCH($A24,'KPI Dashboard South'!$B:$B,0)),INDEX('KPI Dashboard OT'!$C:$C,MATCH($A24,'KPI Dashboard OT'!$B:$B,0))))*B24,"")</f>
        <v/>
      </c>
      <c r="E24" s="40">
        <f>IFERROR(IF($C24="Physio_North",INDEX('KPI Dashboard North'!$D:$D,MATCH($A24,'KPI Dashboard North'!$B:$B,0)),IF($C24="Physio_South",INDEX('KPI Dashboard South'!$D:$D,MATCH($A24,'KPI Dashboard South'!$B:$B,0)),INDEX('KPI Dashboard OT'!$D:$D,MATCH($A24,'KPI Dashboard OT'!$B:$B,0))))*$B24,"")</f>
        <v/>
      </c>
      <c r="F24" s="40">
        <f>IFERROR(IF($C24="Physio_North",INDEX('KPI Dashboard North'!$E:$E,MATCH($A24,'KPI Dashboard North'!$B:$B,0)),IF($C24="Physio_South",INDEX('KPI Dashboard South'!$E:$E,MATCH($A24,'KPI Dashboard South'!$B:$B,0)),INDEX('KPI Dashboard OT'!$E:$E,MATCH($A24,'KPI Dashboard OT'!$B:$B,0))))*$B24,"")</f>
        <v/>
      </c>
      <c r="G24" s="40">
        <f>IFERROR(IF($C24="Physio_North",INDEX('KPI Dashboard North'!$F:$F,MATCH($A24,'KPI Dashboard North'!$B:$B,0)),IF($C24="Physio_South",INDEX('KPI Dashboard South'!$F:$F,MATCH($A24,'KPI Dashboard South'!$B:$B,0)),INDEX('KPI Dashboard OT'!$F:$F,MATCH($A24,'KPI Dashboard OT'!$B:$B,0))))*$B24,"")</f>
        <v/>
      </c>
      <c r="H24" s="40">
        <f>IFERROR(IF($C24="Physio_North",INDEX('KPI Dashboard North'!$G:$G,MATCH($A24,'KPI Dashboard North'!$B:$B,0)),IF($C24="Physio_South",INDEX('KPI Dashboard South'!$G:$G,MATCH($A24,'KPI Dashboard South'!$B:$B,0)),INDEX('KPI Dashboard OT'!$G:$G,MATCH($A24,'KPI Dashboard OT'!$B:$B,0))))*$B24,"")</f>
        <v/>
      </c>
      <c r="I24" s="40">
        <f>IFERROR(IF($C24="Physio_North",INDEX('KPI Dashboard North'!$H:$H,MATCH($A24,'KPI Dashboard North'!$B:$B,0)),IF($C24="Physio_South",INDEX('KPI Dashboard South'!$H:$H,MATCH($A24,'KPI Dashboard South'!$B:$B,0)),INDEX('KPI Dashboard OT'!$H:$H,MATCH($A24,'KPI Dashboard OT'!$B:$B,0))))*$B24,"")</f>
        <v/>
      </c>
      <c r="J24" s="40">
        <f>IFERROR(IF($C24="Physio_North",INDEX('KPI Dashboard North'!$I:$I,MATCH($A24,'KPI Dashboard North'!$B:$B,0)),IF($C24="Physio_South",INDEX('KPI Dashboard South'!$I:$I,MATCH($A24,'KPI Dashboard South'!$B:$B,0)),INDEX('KPI Dashboard OT'!$I:$I,MATCH($A24,'KPI Dashboard OT'!$B:$B,0))))*$B24,"")</f>
        <v/>
      </c>
      <c r="K24" s="40">
        <f>IFERROR(IF($C24="Physio_North",INDEX('KPI Dashboard North'!$J:$J,MATCH($A24,'KPI Dashboard North'!$B:$B,0)),IF($C24="Physio_South",INDEX('KPI Dashboard South'!$J:$J,MATCH($A24,'KPI Dashboard South'!$B:$B,0)),INDEX('KPI Dashboard OT'!$J:$J,MATCH($A24,'KPI Dashboard OT'!$B:$B,0))))*$B24,"")</f>
        <v/>
      </c>
      <c r="L24" s="40">
        <f>IFERROR(IF($C24="Physio_North",INDEX('KPI Dashboard North'!$K:$K,MATCH($A24,'KPI Dashboard North'!$B:$B,0)),IF($C24="Physio_South",INDEX('KPI Dashboard South'!$K:$K,MATCH($A24,'KPI Dashboard South'!$B:$B,0)),INDEX('KPI Dashboard OT'!$K:$K,MATCH($A24,'KPI Dashboard OT'!$B:$B,0))))*$B24,"")</f>
        <v/>
      </c>
      <c r="M24" s="40">
        <f>IFERROR(IF($C24="Physio_North",INDEX('KPI Dashboard North'!$L:$L,MATCH($A24,'KPI Dashboard North'!$B:$B,0)),IF($C24="Physio_South",INDEX('KPI Dashboard South'!$L:$L,MATCH($A24,'KPI Dashboard South'!$B:$B,0)),INDEX('KPI Dashboard OT'!$L:$L,MATCH($A24,'KPI Dashboard OT'!$B:$B,0))))*$B24,"")</f>
        <v/>
      </c>
      <c r="N24" s="40">
        <f>IFERROR(IF($C24="Physio_North",INDEX('KPI Dashboard North'!$M:$M,MATCH($A24,'KPI Dashboard North'!$B:$B,0)),IF($C24="Physio_South",INDEX('KPI Dashboard South'!$M:$M,MATCH($A24,'KPI Dashboard South'!$B:$B,0)),INDEX('KPI Dashboard OT'!$M:$M,MATCH($A24,'KPI Dashboard OT'!$B:$B,0))))*$B24,"")</f>
        <v/>
      </c>
      <c r="O24" s="40">
        <f>IFERROR(IF($C24="Physio_North",INDEX('KPI Dashboard North'!$N:$N,MATCH($A24,'KPI Dashboard North'!$B:$B,0)),IF($C24="Physio_South",INDEX('KPI Dashboard South'!$N:$N,MATCH($A24,'KPI Dashboard South'!$B:$B,0)),INDEX('KPI Dashboard OT'!$N:$N,MATCH($A24,'KPI Dashboard OT'!$B:$B,0))))*$B24,"")</f>
        <v/>
      </c>
    </row>
    <row r="25">
      <c r="A25" s="158" t="inlineStr">
        <is>
          <t>Charlotte</t>
        </is>
      </c>
      <c r="B25" s="42" t="n">
        <v>1</v>
      </c>
      <c r="C25" s="164" t="inlineStr">
        <is>
          <t>OT</t>
        </is>
      </c>
      <c r="D25" s="40">
        <f>IFERROR(IF($C25="Physio_North",INDEX('KPI Dashboard North'!$C:$C,MATCH($A25,'KPI Dashboard North'!$B:$B,0)),IF($C25="Physio_South",INDEX('KPI Dashboard South'!$C:$C,MATCH($A25,'KPI Dashboard South'!$B:$B,0)),INDEX('KPI Dashboard OT'!$C:$C,MATCH($A25,'KPI Dashboard OT'!$B:$B,0))))*B25,"")</f>
        <v/>
      </c>
      <c r="E25" s="40">
        <f>IFERROR(IF($C25="Physio_North",INDEX('KPI Dashboard North'!$D:$D,MATCH($A25,'KPI Dashboard North'!$B:$B,0)),IF($C25="Physio_South",INDEX('KPI Dashboard South'!$D:$D,MATCH($A25,'KPI Dashboard South'!$B:$B,0)),INDEX('KPI Dashboard OT'!$D:$D,MATCH($A25,'KPI Dashboard OT'!$B:$B,0))))*$B25,"")</f>
        <v/>
      </c>
      <c r="F25" s="40">
        <f>IFERROR(IF($C25="Physio_North",INDEX('KPI Dashboard North'!$E:$E,MATCH($A25,'KPI Dashboard North'!$B:$B,0)),IF($C25="Physio_South",INDEX('KPI Dashboard South'!$E:$E,MATCH($A25,'KPI Dashboard South'!$B:$B,0)),INDEX('KPI Dashboard OT'!$E:$E,MATCH($A25,'KPI Dashboard OT'!$B:$B,0))))*$B25,"")</f>
        <v/>
      </c>
      <c r="G25" s="40">
        <f>IFERROR(IF($C25="Physio_North",INDEX('KPI Dashboard North'!$F:$F,MATCH($A25,'KPI Dashboard North'!$B:$B,0)),IF($C25="Physio_South",INDEX('KPI Dashboard South'!$F:$F,MATCH($A25,'KPI Dashboard South'!$B:$B,0)),INDEX('KPI Dashboard OT'!$F:$F,MATCH($A25,'KPI Dashboard OT'!$B:$B,0))))*$B25,"")</f>
        <v/>
      </c>
      <c r="H25" s="40">
        <f>IFERROR(IF($C25="Physio_North",INDEX('KPI Dashboard North'!$G:$G,MATCH($A25,'KPI Dashboard North'!$B:$B,0)),IF($C25="Physio_South",INDEX('KPI Dashboard South'!$G:$G,MATCH($A25,'KPI Dashboard South'!$B:$B,0)),INDEX('KPI Dashboard OT'!$G:$G,MATCH($A25,'KPI Dashboard OT'!$B:$B,0))))*$B25,"")</f>
        <v/>
      </c>
      <c r="I25" s="40">
        <f>IFERROR(IF($C25="Physio_North",INDEX('KPI Dashboard North'!$H:$H,MATCH($A25,'KPI Dashboard North'!$B:$B,0)),IF($C25="Physio_South",INDEX('KPI Dashboard South'!$H:$H,MATCH($A25,'KPI Dashboard South'!$B:$B,0)),INDEX('KPI Dashboard OT'!$H:$H,MATCH($A25,'KPI Dashboard OT'!$B:$B,0))))*$B25,"")</f>
        <v/>
      </c>
      <c r="J25" s="40">
        <f>IFERROR(IF($C25="Physio_North",INDEX('KPI Dashboard North'!$I:$I,MATCH($A25,'KPI Dashboard North'!$B:$B,0)),IF($C25="Physio_South",INDEX('KPI Dashboard South'!$I:$I,MATCH($A25,'KPI Dashboard South'!$B:$B,0)),INDEX('KPI Dashboard OT'!$I:$I,MATCH($A25,'KPI Dashboard OT'!$B:$B,0))))*$B25,"")</f>
        <v/>
      </c>
      <c r="K25" s="40">
        <f>IFERROR(IF($C25="Physio_North",INDEX('KPI Dashboard North'!$J:$J,MATCH($A25,'KPI Dashboard North'!$B:$B,0)),IF($C25="Physio_South",INDEX('KPI Dashboard South'!$J:$J,MATCH($A25,'KPI Dashboard South'!$B:$B,0)),INDEX('KPI Dashboard OT'!$J:$J,MATCH($A25,'KPI Dashboard OT'!$B:$B,0))))*$B25,"")</f>
        <v/>
      </c>
      <c r="L25" s="40">
        <f>IFERROR(IF($C25="Physio_North",INDEX('KPI Dashboard North'!$K:$K,MATCH($A25,'KPI Dashboard North'!$B:$B,0)),IF($C25="Physio_South",INDEX('KPI Dashboard South'!$K:$K,MATCH($A25,'KPI Dashboard South'!$B:$B,0)),INDEX('KPI Dashboard OT'!$K:$K,MATCH($A25,'KPI Dashboard OT'!$B:$B,0))))*$B25,"")</f>
        <v/>
      </c>
      <c r="M25" s="40">
        <f>IFERROR(IF($C25="Physio_North",INDEX('KPI Dashboard North'!$L:$L,MATCH($A25,'KPI Dashboard North'!$B:$B,0)),IF($C25="Physio_South",INDEX('KPI Dashboard South'!$L:$L,MATCH($A25,'KPI Dashboard South'!$B:$B,0)),INDEX('KPI Dashboard OT'!$L:$L,MATCH($A25,'KPI Dashboard OT'!$B:$B,0))))*$B25,"")</f>
        <v/>
      </c>
      <c r="N25" s="40">
        <f>IFERROR(IF($C25="Physio_North",INDEX('KPI Dashboard North'!$M:$M,MATCH($A25,'KPI Dashboard North'!$B:$B,0)),IF($C25="Physio_South",INDEX('KPI Dashboard South'!$M:$M,MATCH($A25,'KPI Dashboard South'!$B:$B,0)),INDEX('KPI Dashboard OT'!$M:$M,MATCH($A25,'KPI Dashboard OT'!$B:$B,0))))*$B25,"")</f>
        <v/>
      </c>
      <c r="O25" s="40">
        <f>IFERROR(IF($C25="Physio_North",INDEX('KPI Dashboard North'!$N:$N,MATCH($A25,'KPI Dashboard North'!$B:$B,0)),IF($C25="Physio_South",INDEX('KPI Dashboard South'!$N:$N,MATCH($A25,'KPI Dashboard South'!$B:$B,0)),INDEX('KPI Dashboard OT'!$N:$N,MATCH($A25,'KPI Dashboard OT'!$B:$B,0))))*$B25,"")</f>
        <v/>
      </c>
    </row>
    <row r="26">
      <c r="A26" s="159" t="inlineStr">
        <is>
          <t>Isabella</t>
        </is>
      </c>
      <c r="B26" s="42" t="n">
        <v>1</v>
      </c>
      <c r="C26" s="165" t="inlineStr">
        <is>
          <t>OT</t>
        </is>
      </c>
      <c r="D26" s="40">
        <f>IFERROR(IF($C26="Physio_North",INDEX('KPI Dashboard North'!$C:$C,MATCH($A26,'KPI Dashboard North'!$B:$B,0)),IF($C26="Physio_South",INDEX('KPI Dashboard South'!$C:$C,MATCH($A26,'KPI Dashboard South'!$B:$B,0)),INDEX('KPI Dashboard OT'!$C:$C,MATCH($A26,'KPI Dashboard OT'!$B:$B,0))))*B26,"")</f>
        <v/>
      </c>
      <c r="E26" s="40">
        <f>IFERROR(IF($C26="Physio_North",INDEX('KPI Dashboard North'!$D:$D,MATCH($A26,'KPI Dashboard North'!$B:$B,0)),IF($C26="Physio_South",INDEX('KPI Dashboard South'!$D:$D,MATCH($A26,'KPI Dashboard South'!$B:$B,0)),INDEX('KPI Dashboard OT'!$D:$D,MATCH($A26,'KPI Dashboard OT'!$B:$B,0))))*$B26,"")</f>
        <v/>
      </c>
      <c r="F26" s="40">
        <f>IFERROR(IF($C26="Physio_North",INDEX('KPI Dashboard North'!$E:$E,MATCH($A26,'KPI Dashboard North'!$B:$B,0)),IF($C26="Physio_South",INDEX('KPI Dashboard South'!$E:$E,MATCH($A26,'KPI Dashboard South'!$B:$B,0)),INDEX('KPI Dashboard OT'!$E:$E,MATCH($A26,'KPI Dashboard OT'!$B:$B,0))))*$B26,"")</f>
        <v/>
      </c>
      <c r="G26" s="40">
        <f>IFERROR(IF($C26="Physio_North",INDEX('KPI Dashboard North'!$F:$F,MATCH($A26,'KPI Dashboard North'!$B:$B,0)),IF($C26="Physio_South",INDEX('KPI Dashboard South'!$F:$F,MATCH($A26,'KPI Dashboard South'!$B:$B,0)),INDEX('KPI Dashboard OT'!$F:$F,MATCH($A26,'KPI Dashboard OT'!$B:$B,0))))*$B26,"")</f>
        <v/>
      </c>
      <c r="H26" s="40">
        <f>IFERROR(IF($C26="Physio_North",INDEX('KPI Dashboard North'!$G:$G,MATCH($A26,'KPI Dashboard North'!$B:$B,0)),IF($C26="Physio_South",INDEX('KPI Dashboard South'!$G:$G,MATCH($A26,'KPI Dashboard South'!$B:$B,0)),INDEX('KPI Dashboard OT'!$G:$G,MATCH($A26,'KPI Dashboard OT'!$B:$B,0))))*$B26,"")</f>
        <v/>
      </c>
      <c r="I26" s="40">
        <f>IFERROR(IF($C26="Physio_North",INDEX('KPI Dashboard North'!$H:$H,MATCH($A26,'KPI Dashboard North'!$B:$B,0)),IF($C26="Physio_South",INDEX('KPI Dashboard South'!$H:$H,MATCH($A26,'KPI Dashboard South'!$B:$B,0)),INDEX('KPI Dashboard OT'!$H:$H,MATCH($A26,'KPI Dashboard OT'!$B:$B,0))))*$B26,"")</f>
        <v/>
      </c>
      <c r="J26" s="40">
        <f>IFERROR(IF($C26="Physio_North",INDEX('KPI Dashboard North'!$I:$I,MATCH($A26,'KPI Dashboard North'!$B:$B,0)),IF($C26="Physio_South",INDEX('KPI Dashboard South'!$I:$I,MATCH($A26,'KPI Dashboard South'!$B:$B,0)),INDEX('KPI Dashboard OT'!$I:$I,MATCH($A26,'KPI Dashboard OT'!$B:$B,0))))*$B26,"")</f>
        <v/>
      </c>
      <c r="K26" s="40">
        <f>IFERROR(IF($C26="Physio_North",INDEX('KPI Dashboard North'!$J:$J,MATCH($A26,'KPI Dashboard North'!$B:$B,0)),IF($C26="Physio_South",INDEX('KPI Dashboard South'!$J:$J,MATCH($A26,'KPI Dashboard South'!$B:$B,0)),INDEX('KPI Dashboard OT'!$J:$J,MATCH($A26,'KPI Dashboard OT'!$B:$B,0))))*$B26,"")</f>
        <v/>
      </c>
      <c r="L26" s="40">
        <f>IFERROR(IF($C26="Physio_North",INDEX('KPI Dashboard North'!$K:$K,MATCH($A26,'KPI Dashboard North'!$B:$B,0)),IF($C26="Physio_South",INDEX('KPI Dashboard South'!$K:$K,MATCH($A26,'KPI Dashboard South'!$B:$B,0)),INDEX('KPI Dashboard OT'!$K:$K,MATCH($A26,'KPI Dashboard OT'!$B:$B,0))))*$B26,"")</f>
        <v/>
      </c>
      <c r="M26" s="40">
        <f>IFERROR(IF($C26="Physio_North",INDEX('KPI Dashboard North'!$L:$L,MATCH($A26,'KPI Dashboard North'!$B:$B,0)),IF($C26="Physio_South",INDEX('KPI Dashboard South'!$L:$L,MATCH($A26,'KPI Dashboard South'!$B:$B,0)),INDEX('KPI Dashboard OT'!$L:$L,MATCH($A26,'KPI Dashboard OT'!$B:$B,0))))*$B26,"")</f>
        <v/>
      </c>
      <c r="N26" s="40">
        <f>IFERROR(IF($C26="Physio_North",INDEX('KPI Dashboard North'!$M:$M,MATCH($A26,'KPI Dashboard North'!$B:$B,0)),IF($C26="Physio_South",INDEX('KPI Dashboard South'!$M:$M,MATCH($A26,'KPI Dashboard South'!$B:$B,0)),INDEX('KPI Dashboard OT'!$M:$M,MATCH($A26,'KPI Dashboard OT'!$B:$B,0))))*$B26,"")</f>
        <v/>
      </c>
      <c r="O26" s="40">
        <f>IFERROR(IF($C26="Physio_North",INDEX('KPI Dashboard North'!$N:$N,MATCH($A26,'KPI Dashboard North'!$B:$B,0)),IF($C26="Physio_South",INDEX('KPI Dashboard South'!$N:$N,MATCH($A26,'KPI Dashboard South'!$B:$B,0)),INDEX('KPI Dashboard OT'!$N:$N,MATCH($A26,'KPI Dashboard OT'!$B:$B,0))))*$B26,"")</f>
        <v/>
      </c>
    </row>
    <row r="27">
      <c r="A27" s="160" t="inlineStr">
        <is>
          <t>Lynn</t>
        </is>
      </c>
      <c r="B27" s="42" t="n">
        <v>1</v>
      </c>
      <c r="C27" s="166" t="inlineStr">
        <is>
          <t>OT</t>
        </is>
      </c>
      <c r="D27" s="40">
        <f>IFERROR(IF($C27="Physio_North",INDEX('KPI Dashboard North'!$C:$C,MATCH($A27,'KPI Dashboard North'!$B:$B,0)),IF($C27="Physio_South",INDEX('KPI Dashboard South'!$C:$C,MATCH($A27,'KPI Dashboard South'!$B:$B,0)),INDEX('KPI Dashboard OT'!$C:$C,MATCH($A27,'KPI Dashboard OT'!$B:$B,0))))*B27,"")</f>
        <v/>
      </c>
      <c r="E27" s="40">
        <f>IFERROR(IF($C27="Physio_North",INDEX('KPI Dashboard North'!$D:$D,MATCH($A27,'KPI Dashboard North'!$B:$B,0)),IF($C27="Physio_South",INDEX('KPI Dashboard South'!$D:$D,MATCH($A27,'KPI Dashboard South'!$B:$B,0)),INDEX('KPI Dashboard OT'!$D:$D,MATCH($A27,'KPI Dashboard OT'!$B:$B,0))))*$B27,"")</f>
        <v/>
      </c>
      <c r="F27" s="40">
        <f>IFERROR(IF($C27="Physio_North",INDEX('KPI Dashboard North'!$E:$E,MATCH($A27,'KPI Dashboard North'!$B:$B,0)),IF($C27="Physio_South",INDEX('KPI Dashboard South'!$E:$E,MATCH($A27,'KPI Dashboard South'!$B:$B,0)),INDEX('KPI Dashboard OT'!$E:$E,MATCH($A27,'KPI Dashboard OT'!$B:$B,0))))*$B27,"")</f>
        <v/>
      </c>
      <c r="G27" s="40">
        <f>IFERROR(IF($C27="Physio_North",INDEX('KPI Dashboard North'!$F:$F,MATCH($A27,'KPI Dashboard North'!$B:$B,0)),IF($C27="Physio_South",INDEX('KPI Dashboard South'!$F:$F,MATCH($A27,'KPI Dashboard South'!$B:$B,0)),INDEX('KPI Dashboard OT'!$F:$F,MATCH($A27,'KPI Dashboard OT'!$B:$B,0))))*$B27,"")</f>
        <v/>
      </c>
      <c r="H27" s="40">
        <f>IFERROR(IF($C27="Physio_North",INDEX('KPI Dashboard North'!$G:$G,MATCH($A27,'KPI Dashboard North'!$B:$B,0)),IF($C27="Physio_South",INDEX('KPI Dashboard South'!$G:$G,MATCH($A27,'KPI Dashboard South'!$B:$B,0)),INDEX('KPI Dashboard OT'!$G:$G,MATCH($A27,'KPI Dashboard OT'!$B:$B,0))))*$B27,"")</f>
        <v/>
      </c>
      <c r="I27" s="40">
        <f>IFERROR(IF($C27="Physio_North",INDEX('KPI Dashboard North'!$H:$H,MATCH($A27,'KPI Dashboard North'!$B:$B,0)),IF($C27="Physio_South",INDEX('KPI Dashboard South'!$H:$H,MATCH($A27,'KPI Dashboard South'!$B:$B,0)),INDEX('KPI Dashboard OT'!$H:$H,MATCH($A27,'KPI Dashboard OT'!$B:$B,0))))*$B27,"")</f>
        <v/>
      </c>
      <c r="J27" s="40">
        <f>IFERROR(IF($C27="Physio_North",INDEX('KPI Dashboard North'!$I:$I,MATCH($A27,'KPI Dashboard North'!$B:$B,0)),IF($C27="Physio_South",INDEX('KPI Dashboard South'!$I:$I,MATCH($A27,'KPI Dashboard South'!$B:$B,0)),INDEX('KPI Dashboard OT'!$I:$I,MATCH($A27,'KPI Dashboard OT'!$B:$B,0))))*$B27,"")</f>
        <v/>
      </c>
      <c r="K27" s="40">
        <f>IFERROR(IF($C27="Physio_North",INDEX('KPI Dashboard North'!$J:$J,MATCH($A27,'KPI Dashboard North'!$B:$B,0)),IF($C27="Physio_South",INDEX('KPI Dashboard South'!$J:$J,MATCH($A27,'KPI Dashboard South'!$B:$B,0)),INDEX('KPI Dashboard OT'!$J:$J,MATCH($A27,'KPI Dashboard OT'!$B:$B,0))))*$B27,"")</f>
        <v/>
      </c>
      <c r="L27" s="40">
        <f>IFERROR(IF($C27="Physio_North",INDEX('KPI Dashboard North'!$K:$K,MATCH($A27,'KPI Dashboard North'!$B:$B,0)),IF($C27="Physio_South",INDEX('KPI Dashboard South'!$K:$K,MATCH($A27,'KPI Dashboard South'!$B:$B,0)),INDEX('KPI Dashboard OT'!$K:$K,MATCH($A27,'KPI Dashboard OT'!$B:$B,0))))*$B27,"")</f>
        <v/>
      </c>
      <c r="M27" s="40">
        <f>IFERROR(IF($C27="Physio_North",INDEX('KPI Dashboard North'!$L:$L,MATCH($A27,'KPI Dashboard North'!$B:$B,0)),IF($C27="Physio_South",INDEX('KPI Dashboard South'!$L:$L,MATCH($A27,'KPI Dashboard South'!$B:$B,0)),INDEX('KPI Dashboard OT'!$L:$L,MATCH($A27,'KPI Dashboard OT'!$B:$B,0))))*$B27,"")</f>
        <v/>
      </c>
      <c r="N27" s="40">
        <f>IFERROR(IF($C27="Physio_North",INDEX('KPI Dashboard North'!$M:$M,MATCH($A27,'KPI Dashboard North'!$B:$B,0)),IF($C27="Physio_South",INDEX('KPI Dashboard South'!$M:$M,MATCH($A27,'KPI Dashboard South'!$B:$B,0)),INDEX('KPI Dashboard OT'!$M:$M,MATCH($A27,'KPI Dashboard OT'!$B:$B,0))))*$B27,"")</f>
        <v/>
      </c>
      <c r="O27" s="40">
        <f>IFERROR(IF($C27="Physio_North",INDEX('KPI Dashboard North'!$N:$N,MATCH($A27,'KPI Dashboard North'!$B:$B,0)),IF($C27="Physio_South",INDEX('KPI Dashboard South'!$N:$N,MATCH($A27,'KPI Dashboard South'!$B:$B,0)),INDEX('KPI Dashboard OT'!$N:$N,MATCH($A27,'KPI Dashboard OT'!$B:$B,0))))*$B27,"")</f>
        <v/>
      </c>
    </row>
    <row r="28">
      <c r="A28" s="159" t="inlineStr">
        <is>
          <t>Portia</t>
        </is>
      </c>
      <c r="B28" s="42" t="n">
        <v>1</v>
      </c>
      <c r="C28" s="165" t="inlineStr">
        <is>
          <t>OT</t>
        </is>
      </c>
      <c r="D28" s="40">
        <f>IFERROR(IF($C28="Physio_North",INDEX('KPI Dashboard North'!$C:$C,MATCH($A28,'KPI Dashboard North'!$B:$B,0)),IF($C28="Physio_South",INDEX('KPI Dashboard South'!$C:$C,MATCH($A28,'KPI Dashboard South'!$B:$B,0)),INDEX('KPI Dashboard OT'!$C:$C,MATCH($A28,'KPI Dashboard OT'!$B:$B,0))))*B28,"")</f>
        <v/>
      </c>
      <c r="E28" s="40">
        <f>IFERROR(IF($C28="Physio_North",INDEX('KPI Dashboard North'!$D:$D,MATCH($A28,'KPI Dashboard North'!$B:$B,0)),IF($C28="Physio_South",INDEX('KPI Dashboard South'!$D:$D,MATCH($A28,'KPI Dashboard South'!$B:$B,0)),INDEX('KPI Dashboard OT'!$D:$D,MATCH($A28,'KPI Dashboard OT'!$B:$B,0))))*$B28,"")</f>
        <v/>
      </c>
      <c r="F28" s="40">
        <f>IFERROR(IF($C28="Physio_North",INDEX('KPI Dashboard North'!$E:$E,MATCH($A28,'KPI Dashboard North'!$B:$B,0)),IF($C28="Physio_South",INDEX('KPI Dashboard South'!$E:$E,MATCH($A28,'KPI Dashboard South'!$B:$B,0)),INDEX('KPI Dashboard OT'!$E:$E,MATCH($A28,'KPI Dashboard OT'!$B:$B,0))))*$B28,"")</f>
        <v/>
      </c>
      <c r="G28" s="40">
        <f>IFERROR(IF($C28="Physio_North",INDEX('KPI Dashboard North'!$F:$F,MATCH($A28,'KPI Dashboard North'!$B:$B,0)),IF($C28="Physio_South",INDEX('KPI Dashboard South'!$F:$F,MATCH($A28,'KPI Dashboard South'!$B:$B,0)),INDEX('KPI Dashboard OT'!$F:$F,MATCH($A28,'KPI Dashboard OT'!$B:$B,0))))*$B28,"")</f>
        <v/>
      </c>
      <c r="H28" s="40">
        <f>IFERROR(IF($C28="Physio_North",INDEX('KPI Dashboard North'!$G:$G,MATCH($A28,'KPI Dashboard North'!$B:$B,0)),IF($C28="Physio_South",INDEX('KPI Dashboard South'!$G:$G,MATCH($A28,'KPI Dashboard South'!$B:$B,0)),INDEX('KPI Dashboard OT'!$G:$G,MATCH($A28,'KPI Dashboard OT'!$B:$B,0))))*$B28,"")</f>
        <v/>
      </c>
      <c r="I28" s="40">
        <f>IFERROR(IF($C28="Physio_North",INDEX('KPI Dashboard North'!$H:$H,MATCH($A28,'KPI Dashboard North'!$B:$B,0)),IF($C28="Physio_South",INDEX('KPI Dashboard South'!$H:$H,MATCH($A28,'KPI Dashboard South'!$B:$B,0)),INDEX('KPI Dashboard OT'!$H:$H,MATCH($A28,'KPI Dashboard OT'!$B:$B,0))))*$B28,"")</f>
        <v/>
      </c>
      <c r="J28" s="40">
        <f>IFERROR(IF($C28="Physio_North",INDEX('KPI Dashboard North'!$I:$I,MATCH($A28,'KPI Dashboard North'!$B:$B,0)),IF($C28="Physio_South",INDEX('KPI Dashboard South'!$I:$I,MATCH($A28,'KPI Dashboard South'!$B:$B,0)),INDEX('KPI Dashboard OT'!$I:$I,MATCH($A28,'KPI Dashboard OT'!$B:$B,0))))*$B28,"")</f>
        <v/>
      </c>
      <c r="K28" s="40">
        <f>IFERROR(IF($C28="Physio_North",INDEX('KPI Dashboard North'!$J:$J,MATCH($A28,'KPI Dashboard North'!$B:$B,0)),IF($C28="Physio_South",INDEX('KPI Dashboard South'!$J:$J,MATCH($A28,'KPI Dashboard South'!$B:$B,0)),INDEX('KPI Dashboard OT'!$J:$J,MATCH($A28,'KPI Dashboard OT'!$B:$B,0))))*$B28,"")</f>
        <v/>
      </c>
      <c r="L28" s="40">
        <f>IFERROR(IF($C28="Physio_North",INDEX('KPI Dashboard North'!$K:$K,MATCH($A28,'KPI Dashboard North'!$B:$B,0)),IF($C28="Physio_South",INDEX('KPI Dashboard South'!$K:$K,MATCH($A28,'KPI Dashboard South'!$B:$B,0)),INDEX('KPI Dashboard OT'!$K:$K,MATCH($A28,'KPI Dashboard OT'!$B:$B,0))))*$B28,"")</f>
        <v/>
      </c>
      <c r="M28" s="40">
        <f>IFERROR(IF($C28="Physio_North",INDEX('KPI Dashboard North'!$L:$L,MATCH($A28,'KPI Dashboard North'!$B:$B,0)),IF($C28="Physio_South",INDEX('KPI Dashboard South'!$L:$L,MATCH($A28,'KPI Dashboard South'!$B:$B,0)),INDEX('KPI Dashboard OT'!$L:$L,MATCH($A28,'KPI Dashboard OT'!$B:$B,0))))*$B28,"")</f>
        <v/>
      </c>
      <c r="N28" s="40">
        <f>IFERROR(IF($C28="Physio_North",INDEX('KPI Dashboard North'!$M:$M,MATCH($A28,'KPI Dashboard North'!$B:$B,0)),IF($C28="Physio_South",INDEX('KPI Dashboard South'!$M:$M,MATCH($A28,'KPI Dashboard South'!$B:$B,0)),INDEX('KPI Dashboard OT'!$M:$M,MATCH($A28,'KPI Dashboard OT'!$B:$B,0))))*$B28,"")</f>
        <v/>
      </c>
      <c r="O28" s="40">
        <f>IFERROR(IF($C28="Physio_North",INDEX('KPI Dashboard North'!$N:$N,MATCH($A28,'KPI Dashboard North'!$B:$B,0)),IF($C28="Physio_South",INDEX('KPI Dashboard South'!$N:$N,MATCH($A28,'KPI Dashboard South'!$B:$B,0)),INDEX('KPI Dashboard OT'!$N:$N,MATCH($A28,'KPI Dashboard OT'!$B:$B,0))))*$B28,"")</f>
        <v/>
      </c>
    </row>
    <row r="29">
      <c r="A29" s="160" t="inlineStr">
        <is>
          <t>Bao</t>
        </is>
      </c>
      <c r="B29" s="42" t="n">
        <v>1</v>
      </c>
      <c r="C29" s="166" t="inlineStr">
        <is>
          <t>OT</t>
        </is>
      </c>
      <c r="D29" s="40">
        <f>IFERROR(IF($C29="Physio_North",INDEX('KPI Dashboard North'!$C:$C,MATCH($A29,'KPI Dashboard North'!$B:$B,0)),IF($C29="Physio_South",INDEX('KPI Dashboard South'!$C:$C,MATCH($A29,'KPI Dashboard South'!$B:$B,0)),INDEX('KPI Dashboard OT'!$C:$C,MATCH($A29,'KPI Dashboard OT'!$B:$B,0))))*B29,"")</f>
        <v/>
      </c>
      <c r="E29" s="40">
        <f>IFERROR(IF($C29="Physio_North",INDEX('KPI Dashboard North'!$D:$D,MATCH($A29,'KPI Dashboard North'!$B:$B,0)),IF($C29="Physio_South",INDEX('KPI Dashboard South'!$D:$D,MATCH($A29,'KPI Dashboard South'!$B:$B,0)),INDEX('KPI Dashboard OT'!$D:$D,MATCH($A29,'KPI Dashboard OT'!$B:$B,0))))*$B29,"")</f>
        <v/>
      </c>
      <c r="F29" s="40">
        <f>IFERROR(IF($C29="Physio_North",INDEX('KPI Dashboard North'!$E:$E,MATCH($A29,'KPI Dashboard North'!$B:$B,0)),IF($C29="Physio_South",INDEX('KPI Dashboard South'!$E:$E,MATCH($A29,'KPI Dashboard South'!$B:$B,0)),INDEX('KPI Dashboard OT'!$E:$E,MATCH($A29,'KPI Dashboard OT'!$B:$B,0))))*$B29,"")</f>
        <v/>
      </c>
      <c r="G29" s="40">
        <f>IFERROR(IF($C29="Physio_North",INDEX('KPI Dashboard North'!$F:$F,MATCH($A29,'KPI Dashboard North'!$B:$B,0)),IF($C29="Physio_South",INDEX('KPI Dashboard South'!$F:$F,MATCH($A29,'KPI Dashboard South'!$B:$B,0)),INDEX('KPI Dashboard OT'!$F:$F,MATCH($A29,'KPI Dashboard OT'!$B:$B,0))))*$B29,"")</f>
        <v/>
      </c>
      <c r="H29" s="40">
        <f>IFERROR(IF($C29="Physio_North",INDEX('KPI Dashboard North'!$G:$G,MATCH($A29,'KPI Dashboard North'!$B:$B,0)),IF($C29="Physio_South",INDEX('KPI Dashboard South'!$G:$G,MATCH($A29,'KPI Dashboard South'!$B:$B,0)),INDEX('KPI Dashboard OT'!$G:$G,MATCH($A29,'KPI Dashboard OT'!$B:$B,0))))*$B29,"")</f>
        <v/>
      </c>
      <c r="I29" s="40">
        <f>IFERROR(IF($C29="Physio_North",INDEX('KPI Dashboard North'!$H:$H,MATCH($A29,'KPI Dashboard North'!$B:$B,0)),IF($C29="Physio_South",INDEX('KPI Dashboard South'!$H:$H,MATCH($A29,'KPI Dashboard South'!$B:$B,0)),INDEX('KPI Dashboard OT'!$H:$H,MATCH($A29,'KPI Dashboard OT'!$B:$B,0))))*$B29,"")</f>
        <v/>
      </c>
      <c r="J29" s="40">
        <f>IFERROR(IF($C29="Physio_North",INDEX('KPI Dashboard North'!$I:$I,MATCH($A29,'KPI Dashboard North'!$B:$B,0)),IF($C29="Physio_South",INDEX('KPI Dashboard South'!$I:$I,MATCH($A29,'KPI Dashboard South'!$B:$B,0)),INDEX('KPI Dashboard OT'!$I:$I,MATCH($A29,'KPI Dashboard OT'!$B:$B,0))))*$B29,"")</f>
        <v/>
      </c>
      <c r="K29" s="40">
        <f>IFERROR(IF($C29="Physio_North",INDEX('KPI Dashboard North'!$J:$J,MATCH($A29,'KPI Dashboard North'!$B:$B,0)),IF($C29="Physio_South",INDEX('KPI Dashboard South'!$J:$J,MATCH($A29,'KPI Dashboard South'!$B:$B,0)),INDEX('KPI Dashboard OT'!$J:$J,MATCH($A29,'KPI Dashboard OT'!$B:$B,0))))*$B29,"")</f>
        <v/>
      </c>
      <c r="L29" s="40">
        <f>IFERROR(IF($C29="Physio_North",INDEX('KPI Dashboard North'!$K:$K,MATCH($A29,'KPI Dashboard North'!$B:$B,0)),IF($C29="Physio_South",INDEX('KPI Dashboard South'!$K:$K,MATCH($A29,'KPI Dashboard South'!$B:$B,0)),INDEX('KPI Dashboard OT'!$K:$K,MATCH($A29,'KPI Dashboard OT'!$B:$B,0))))*$B29,"")</f>
        <v/>
      </c>
      <c r="M29" s="40">
        <f>IFERROR(IF($C29="Physio_North",INDEX('KPI Dashboard North'!$L:$L,MATCH($A29,'KPI Dashboard North'!$B:$B,0)),IF($C29="Physio_South",INDEX('KPI Dashboard South'!$L:$L,MATCH($A29,'KPI Dashboard South'!$B:$B,0)),INDEX('KPI Dashboard OT'!$L:$L,MATCH($A29,'KPI Dashboard OT'!$B:$B,0))))*$B29,"")</f>
        <v/>
      </c>
      <c r="N29" s="40">
        <f>IFERROR(IF($C29="Physio_North",INDEX('KPI Dashboard North'!$M:$M,MATCH($A29,'KPI Dashboard North'!$B:$B,0)),IF($C29="Physio_South",INDEX('KPI Dashboard South'!$M:$M,MATCH($A29,'KPI Dashboard South'!$B:$B,0)),INDEX('KPI Dashboard OT'!$M:$M,MATCH($A29,'KPI Dashboard OT'!$B:$B,0))))*$B29,"")</f>
        <v/>
      </c>
      <c r="O29" s="40">
        <f>IFERROR(IF($C29="Physio_North",INDEX('KPI Dashboard North'!$N:$N,MATCH($A29,'KPI Dashboard North'!$B:$B,0)),IF($C29="Physio_South",INDEX('KPI Dashboard South'!$N:$N,MATCH($A29,'KPI Dashboard South'!$B:$B,0)),INDEX('KPI Dashboard OT'!$N:$N,MATCH($A29,'KPI Dashboard OT'!$B:$B,0))))*$B29,"")</f>
        <v/>
      </c>
    </row>
    <row r="30">
      <c r="A30" s="160" t="n"/>
      <c r="B30" s="42" t="n"/>
      <c r="C30" s="166" t="n"/>
      <c r="D30" s="40">
        <f>IFERROR(IF($C30="Physio_North",INDEX('KPI Dashboard North'!$C:$C,MATCH($A30,'KPI Dashboard North'!$B:$B,0)),IF($C30="Physio_South",INDEX('KPI Dashboard South'!$C:$C,MATCH($A30,'KPI Dashboard South'!$B:$B,0)),INDEX('KPI Dashboard OT'!$C:$C,MATCH($A30,'KPI Dashboard OT'!$B:$B,0))))*B30,"")</f>
        <v/>
      </c>
      <c r="E30" s="40">
        <f>IFERROR(IF($C30="Physio_North",INDEX('KPI Dashboard North'!$D:$D,MATCH($A30,'KPI Dashboard North'!$B:$B,0)),IF($C30="Physio_South",INDEX('KPI Dashboard South'!$D:$D,MATCH($A30,'KPI Dashboard South'!$B:$B,0)),INDEX('KPI Dashboard OT'!$D:$D,MATCH($A30,'KPI Dashboard OT'!$B:$B,0))))*$B30,"")</f>
        <v/>
      </c>
      <c r="F30" s="40">
        <f>IFERROR(IF($C30="Physio_North",INDEX('KPI Dashboard North'!$E:$E,MATCH($A30,'KPI Dashboard North'!$B:$B,0)),IF($C30="Physio_South",INDEX('KPI Dashboard South'!$E:$E,MATCH($A30,'KPI Dashboard South'!$B:$B,0)),INDEX('KPI Dashboard OT'!$E:$E,MATCH($A30,'KPI Dashboard OT'!$B:$B,0))))*$B30,"")</f>
        <v/>
      </c>
      <c r="G30" s="40">
        <f>IFERROR(IF($C30="Physio_North",INDEX('KPI Dashboard North'!$F:$F,MATCH($A30,'KPI Dashboard North'!$B:$B,0)),IF($C30="Physio_South",INDEX('KPI Dashboard South'!$F:$F,MATCH($A30,'KPI Dashboard South'!$B:$B,0)),INDEX('KPI Dashboard OT'!$F:$F,MATCH($A30,'KPI Dashboard OT'!$B:$B,0))))*$B30,"")</f>
        <v/>
      </c>
      <c r="H30" s="40">
        <f>IFERROR(IF($C30="Physio_North",INDEX('KPI Dashboard North'!$G:$G,MATCH($A30,'KPI Dashboard North'!$B:$B,0)),IF($C30="Physio_South",INDEX('KPI Dashboard South'!$G:$G,MATCH($A30,'KPI Dashboard South'!$B:$B,0)),INDEX('KPI Dashboard OT'!$G:$G,MATCH($A30,'KPI Dashboard OT'!$B:$B,0))))*$B30,"")</f>
        <v/>
      </c>
      <c r="I30" s="40">
        <f>IFERROR(IF($C30="Physio_North",INDEX('KPI Dashboard North'!$H:$H,MATCH($A30,'KPI Dashboard North'!$B:$B,0)),IF($C30="Physio_South",INDEX('KPI Dashboard South'!$H:$H,MATCH($A30,'KPI Dashboard South'!$B:$B,0)),INDEX('KPI Dashboard OT'!$H:$H,MATCH($A30,'KPI Dashboard OT'!$B:$B,0))))*$B30,"")</f>
        <v/>
      </c>
      <c r="J30" s="40">
        <f>IFERROR(IF($C30="Physio_North",INDEX('KPI Dashboard North'!$I:$I,MATCH($A30,'KPI Dashboard North'!$B:$B,0)),IF($C30="Physio_South",INDEX('KPI Dashboard South'!$I:$I,MATCH($A30,'KPI Dashboard South'!$B:$B,0)),INDEX('KPI Dashboard OT'!$I:$I,MATCH($A30,'KPI Dashboard OT'!$B:$B,0))))*$B30,"")</f>
        <v/>
      </c>
      <c r="K30" s="40">
        <f>IFERROR(IF($C30="Physio_North",INDEX('KPI Dashboard North'!$J:$J,MATCH($A30,'KPI Dashboard North'!$B:$B,0)),IF($C30="Physio_South",INDEX('KPI Dashboard South'!$J:$J,MATCH($A30,'KPI Dashboard South'!$B:$B,0)),INDEX('KPI Dashboard OT'!$J:$J,MATCH($A30,'KPI Dashboard OT'!$B:$B,0))))*$B30,"")</f>
        <v/>
      </c>
      <c r="L30" s="40">
        <f>IFERROR(IF($C30="Physio_North",INDEX('KPI Dashboard North'!$K:$K,MATCH($A30,'KPI Dashboard North'!$B:$B,0)),IF($C30="Physio_South",INDEX('KPI Dashboard South'!$K:$K,MATCH($A30,'KPI Dashboard South'!$B:$B,0)),INDEX('KPI Dashboard OT'!$K:$K,MATCH($A30,'KPI Dashboard OT'!$B:$B,0))))*$B30,"")</f>
        <v/>
      </c>
      <c r="M30" s="40">
        <f>IFERROR(IF($C30="Physio_North",INDEX('KPI Dashboard North'!$L:$L,MATCH($A30,'KPI Dashboard North'!$B:$B,0)),IF($C30="Physio_South",INDEX('KPI Dashboard South'!$L:$L,MATCH($A30,'KPI Dashboard South'!$B:$B,0)),INDEX('KPI Dashboard OT'!$L:$L,MATCH($A30,'KPI Dashboard OT'!$B:$B,0))))*$B30,"")</f>
        <v/>
      </c>
      <c r="N30" s="40">
        <f>IFERROR(IF($C30="Physio_North",INDEX('KPI Dashboard North'!$M:$M,MATCH($A30,'KPI Dashboard North'!$B:$B,0)),IF($C30="Physio_South",INDEX('KPI Dashboard South'!$M:$M,MATCH($A30,'KPI Dashboard South'!$B:$B,0)),INDEX('KPI Dashboard OT'!$M:$M,MATCH($A30,'KPI Dashboard OT'!$B:$B,0))))*$B30,"")</f>
        <v/>
      </c>
      <c r="O30" s="40">
        <f>IFERROR(IF($C30="Physio_North",INDEX('KPI Dashboard North'!$N:$N,MATCH($A30,'KPI Dashboard North'!$B:$B,0)),IF($C30="Physio_South",INDEX('KPI Dashboard South'!$N:$N,MATCH($A30,'KPI Dashboard South'!$B:$B,0)),INDEX('KPI Dashboard OT'!$N:$N,MATCH($A30,'KPI Dashboard OT'!$B:$B,0))))*$B30,"")</f>
        <v/>
      </c>
    </row>
    <row r="31">
      <c r="A31" s="160" t="n"/>
      <c r="B31" s="42" t="n"/>
      <c r="C31" s="166" t="n"/>
      <c r="D31" s="155">
        <f>IFERROR(IF($C31="Physio_North",INDEX('KPI Dashboard North'!$C:$C,MATCH($A31,'KPI Dashboard North'!$B:$B,0)),IF($C31="Physio_South",INDEX('KPI Dashboard South'!$C:$C,MATCH($A31,'KPI Dashboard South'!$B:$B,0)),INDEX('KPI Dashboard OT'!$C:$C,MATCH($A31,'KPI Dashboard OT'!$B:$B,0))))*B31,"")</f>
        <v/>
      </c>
      <c r="E31" s="155">
        <f>IFERROR(IF($C31="Physio_North",INDEX('KPI Dashboard North'!$D:$D,MATCH($A31,'KPI Dashboard North'!$B:$B,0)),IF($C31="Physio_South",INDEX('KPI Dashboard South'!$D:$D,MATCH($A31,'KPI Dashboard South'!$B:$B,0)),INDEX('KPI Dashboard OT'!$D:$D,MATCH($A31,'KPI Dashboard OT'!$B:$B,0))))*$B31,"")</f>
        <v/>
      </c>
      <c r="F31" s="155">
        <f>IFERROR(IF($C31="Physio_North",INDEX('KPI Dashboard North'!$E:$E,MATCH($A31,'KPI Dashboard North'!$B:$B,0)),IF($C31="Physio_South",INDEX('KPI Dashboard South'!$E:$E,MATCH($A31,'KPI Dashboard South'!$B:$B,0)),INDEX('KPI Dashboard OT'!$E:$E,MATCH($A31,'KPI Dashboard OT'!$B:$B,0))))*$B31,"")</f>
        <v/>
      </c>
      <c r="G31" s="155">
        <f>IFERROR(IF($C31="Physio_North",INDEX('KPI Dashboard North'!$F:$F,MATCH($A31,'KPI Dashboard North'!$B:$B,0)),IF($C31="Physio_South",INDEX('KPI Dashboard South'!$F:$F,MATCH($A31,'KPI Dashboard South'!$B:$B,0)),INDEX('KPI Dashboard OT'!$F:$F,MATCH($A31,'KPI Dashboard OT'!$B:$B,0))))*$B31,"")</f>
        <v/>
      </c>
      <c r="H31" s="155">
        <f>IFERROR(IF($C31="Physio_North",INDEX('KPI Dashboard North'!$G:$G,MATCH($A31,'KPI Dashboard North'!$B:$B,0)),IF($C31="Physio_South",INDEX('KPI Dashboard South'!$G:$G,MATCH($A31,'KPI Dashboard South'!$B:$B,0)),INDEX('KPI Dashboard OT'!$G:$G,MATCH($A31,'KPI Dashboard OT'!$B:$B,0))))*$B31,"")</f>
        <v/>
      </c>
      <c r="I31" s="155">
        <f>IFERROR(IF($C31="Physio_North",INDEX('KPI Dashboard North'!$H:$H,MATCH($A31,'KPI Dashboard North'!$B:$B,0)),IF($C31="Physio_South",INDEX('KPI Dashboard South'!$H:$H,MATCH($A31,'KPI Dashboard South'!$B:$B,0)),INDEX('KPI Dashboard OT'!$H:$H,MATCH($A31,'KPI Dashboard OT'!$B:$B,0))))*$B31,"")</f>
        <v/>
      </c>
      <c r="J31" s="155">
        <f>IFERROR(IF($C31="Physio_North",INDEX('KPI Dashboard North'!$I:$I,MATCH($A31,'KPI Dashboard North'!$B:$B,0)),IF($C31="Physio_South",INDEX('KPI Dashboard South'!$I:$I,MATCH($A31,'KPI Dashboard South'!$B:$B,0)),INDEX('KPI Dashboard OT'!$I:$I,MATCH($A31,'KPI Dashboard OT'!$B:$B,0))))*$B31,"")</f>
        <v/>
      </c>
      <c r="K31" s="155">
        <f>IFERROR(IF($C31="Physio_North",INDEX('KPI Dashboard North'!$J:$J,MATCH($A31,'KPI Dashboard North'!$B:$B,0)),IF($C31="Physio_South",INDEX('KPI Dashboard South'!$J:$J,MATCH($A31,'KPI Dashboard South'!$B:$B,0)),INDEX('KPI Dashboard OT'!$J:$J,MATCH($A31,'KPI Dashboard OT'!$B:$B,0))))*$B31,"")</f>
        <v/>
      </c>
      <c r="L31" s="155">
        <f>IFERROR(IF($C31="Physio_North",INDEX('KPI Dashboard North'!$K:$K,MATCH($A31,'KPI Dashboard North'!$B:$B,0)),IF($C31="Physio_South",INDEX('KPI Dashboard South'!$K:$K,MATCH($A31,'KPI Dashboard South'!$B:$B,0)),INDEX('KPI Dashboard OT'!$K:$K,MATCH($A31,'KPI Dashboard OT'!$B:$B,0))))*$B31,"")</f>
        <v/>
      </c>
      <c r="M31" s="155">
        <f>IFERROR(IF($C31="Physio_North",INDEX('KPI Dashboard North'!$L:$L,MATCH($A31,'KPI Dashboard North'!$B:$B,0)),IF($C31="Physio_South",INDEX('KPI Dashboard South'!$L:$L,MATCH($A31,'KPI Dashboard South'!$B:$B,0)),INDEX('KPI Dashboard OT'!$L:$L,MATCH($A31,'KPI Dashboard OT'!$B:$B,0))))*$B31,"")</f>
        <v/>
      </c>
      <c r="N31" s="155">
        <f>IFERROR(IF($C31="Physio_North",INDEX('KPI Dashboard North'!$M:$M,MATCH($A31,'KPI Dashboard North'!$B:$B,0)),IF($C31="Physio_South",INDEX('KPI Dashboard South'!$M:$M,MATCH($A31,'KPI Dashboard South'!$B:$B,0)),INDEX('KPI Dashboard OT'!$M:$M,MATCH($A31,'KPI Dashboard OT'!$B:$B,0))))*$B31,"")</f>
        <v/>
      </c>
      <c r="O31" s="155">
        <f>IFERROR(IF($C31="Physio_North",INDEX('KPI Dashboard North'!$N:$N,MATCH($A31,'KPI Dashboard North'!$B:$B,0)),IF($C31="Physio_South",INDEX('KPI Dashboard South'!$N:$N,MATCH($A31,'KPI Dashboard South'!$B:$B,0)),INDEX('KPI Dashboard OT'!$N:$N,MATCH($A31,'KPI Dashboard OT'!$B:$B,0))))*$B31,"")</f>
        <v/>
      </c>
    </row>
    <row r="32">
      <c r="A32" s="161" t="n"/>
      <c r="B32" s="42" t="n"/>
      <c r="C32" s="167" t="n"/>
      <c r="D32" s="155">
        <f>IFERROR(IF($C32="Physio_North",INDEX('KPI Dashboard North'!$C:$C,MATCH($A32,'KPI Dashboard North'!$B:$B,0)),IF($C32="Physio_South",INDEX('KPI Dashboard South'!$C:$C,MATCH($A32,'KPI Dashboard South'!$B:$B,0)),INDEX('KPI Dashboard OT'!$C:$C,MATCH($A32,'KPI Dashboard OT'!$B:$B,0))))*B32,"")</f>
        <v/>
      </c>
      <c r="E32" s="155">
        <f>IFERROR(IF($C32="Physio_North",INDEX('KPI Dashboard North'!$D:$D,MATCH($A32,'KPI Dashboard North'!$B:$B,0)),IF($C32="Physio_South",INDEX('KPI Dashboard South'!$D:$D,MATCH($A32,'KPI Dashboard South'!$B:$B,0)),INDEX('KPI Dashboard OT'!$D:$D,MATCH($A32,'KPI Dashboard OT'!$B:$B,0))))*$B32,"")</f>
        <v/>
      </c>
      <c r="F32" s="155">
        <f>IFERROR(IF($C32="Physio_North",INDEX('KPI Dashboard North'!$E:$E,MATCH($A32,'KPI Dashboard North'!$B:$B,0)),IF($C32="Physio_South",INDEX('KPI Dashboard South'!$E:$E,MATCH($A32,'KPI Dashboard South'!$B:$B,0)),INDEX('KPI Dashboard OT'!$E:$E,MATCH($A32,'KPI Dashboard OT'!$B:$B,0))))*$B32,"")</f>
        <v/>
      </c>
      <c r="G32" s="155">
        <f>IFERROR(IF($C32="Physio_North",INDEX('KPI Dashboard North'!$F:$F,MATCH($A32,'KPI Dashboard North'!$B:$B,0)),IF($C32="Physio_South",INDEX('KPI Dashboard South'!$F:$F,MATCH($A32,'KPI Dashboard South'!$B:$B,0)),INDEX('KPI Dashboard OT'!$F:$F,MATCH($A32,'KPI Dashboard OT'!$B:$B,0))))*$B32,"")</f>
        <v/>
      </c>
      <c r="H32" s="155">
        <f>IFERROR(IF($C32="Physio_North",INDEX('KPI Dashboard North'!$G:$G,MATCH($A32,'KPI Dashboard North'!$B:$B,0)),IF($C32="Physio_South",INDEX('KPI Dashboard South'!$G:$G,MATCH($A32,'KPI Dashboard South'!$B:$B,0)),INDEX('KPI Dashboard OT'!$G:$G,MATCH($A32,'KPI Dashboard OT'!$B:$B,0))))*$B32,"")</f>
        <v/>
      </c>
      <c r="I32" s="155">
        <f>IFERROR(IF($C32="Physio_North",INDEX('KPI Dashboard North'!$H:$H,MATCH($A32,'KPI Dashboard North'!$B:$B,0)),IF($C32="Physio_South",INDEX('KPI Dashboard South'!$H:$H,MATCH($A32,'KPI Dashboard South'!$B:$B,0)),INDEX('KPI Dashboard OT'!$H:$H,MATCH($A32,'KPI Dashboard OT'!$B:$B,0))))*$B32,"")</f>
        <v/>
      </c>
      <c r="J32" s="155">
        <f>IFERROR(IF($C32="Physio_North",INDEX('KPI Dashboard North'!$I:$I,MATCH($A32,'KPI Dashboard North'!$B:$B,0)),IF($C32="Physio_South",INDEX('KPI Dashboard South'!$I:$I,MATCH($A32,'KPI Dashboard South'!$B:$B,0)),INDEX('KPI Dashboard OT'!$I:$I,MATCH($A32,'KPI Dashboard OT'!$B:$B,0))))*$B32,"")</f>
        <v/>
      </c>
      <c r="K32" s="155">
        <f>IFERROR(IF($C32="Physio_North",INDEX('KPI Dashboard North'!$J:$J,MATCH($A32,'KPI Dashboard North'!$B:$B,0)),IF($C32="Physio_South",INDEX('KPI Dashboard South'!$J:$J,MATCH($A32,'KPI Dashboard South'!$B:$B,0)),INDEX('KPI Dashboard OT'!$J:$J,MATCH($A32,'KPI Dashboard OT'!$B:$B,0))))*$B32,"")</f>
        <v/>
      </c>
      <c r="L32" s="155">
        <f>IFERROR(IF($C32="Physio_North",INDEX('KPI Dashboard North'!$K:$K,MATCH($A32,'KPI Dashboard North'!$B:$B,0)),IF($C32="Physio_South",INDEX('KPI Dashboard South'!$K:$K,MATCH($A32,'KPI Dashboard South'!$B:$B,0)),INDEX('KPI Dashboard OT'!$K:$K,MATCH($A32,'KPI Dashboard OT'!$B:$B,0))))*$B32,"")</f>
        <v/>
      </c>
      <c r="M32" s="155">
        <f>IFERROR(IF($C32="Physio_North",INDEX('KPI Dashboard North'!$L:$L,MATCH($A32,'KPI Dashboard North'!$B:$B,0)),IF($C32="Physio_South",INDEX('KPI Dashboard South'!$L:$L,MATCH($A32,'KPI Dashboard South'!$B:$B,0)),INDEX('KPI Dashboard OT'!$L:$L,MATCH($A32,'KPI Dashboard OT'!$B:$B,0))))*$B32,"")</f>
        <v/>
      </c>
      <c r="N32" s="155">
        <f>IFERROR(IF($C32="Physio_North",INDEX('KPI Dashboard North'!$M:$M,MATCH($A32,'KPI Dashboard North'!$B:$B,0)),IF($C32="Physio_South",INDEX('KPI Dashboard South'!$M:$M,MATCH($A32,'KPI Dashboard South'!$B:$B,0)),INDEX('KPI Dashboard OT'!$M:$M,MATCH($A32,'KPI Dashboard OT'!$B:$B,0))))*$B32,"")</f>
        <v/>
      </c>
      <c r="O32" s="155">
        <f>IFERROR(IF($C32="Physio_North",INDEX('KPI Dashboard North'!$N:$N,MATCH($A32,'KPI Dashboard North'!$B:$B,0)),IF($C32="Physio_South",INDEX('KPI Dashboard South'!$N:$N,MATCH($A32,'KPI Dashboard South'!$B:$B,0)),INDEX('KPI Dashboard OT'!$N:$N,MATCH($A32,'KPI Dashboard OT'!$B:$B,0))))*$B32,"")</f>
        <v/>
      </c>
    </row>
  </sheetData>
  <pageMargins left="0.7" right="0.7" top="0.75" bottom="0.75" header="0.3" footer="0.3"/>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695EB7A6889243B6EF54BA8507F830" ma:contentTypeVersion="7" ma:contentTypeDescription="Create a new document." ma:contentTypeScope="" ma:versionID="b3c0230eaaf081fe997e9b43abc1db83">
  <xsd:schema xmlns:xsd="http://www.w3.org/2001/XMLSchema" xmlns:xs="http://www.w3.org/2001/XMLSchema" xmlns:p="http://schemas.microsoft.com/office/2006/metadata/properties" xmlns:ns2="539e812f-9b0f-4b76-b08b-cb67e15df5b6" targetNamespace="http://schemas.microsoft.com/office/2006/metadata/properties" ma:root="true" ma:fieldsID="252d12242f9c86922867d8799a9500e0" ns2:_="">
    <xsd:import namespace="539e812f-9b0f-4b76-b08b-cb67e15df5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9e812f-9b0f-4b76-b08b-cb67e15df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8E731A-24ED-48A5-9B53-A2ED46D11AF6}"/>
</file>

<file path=customXml/itemProps2.xml><?xml version="1.0" encoding="utf-8"?>
<ds:datastoreItem xmlns:ds="http://schemas.openxmlformats.org/officeDocument/2006/customXml" ds:itemID="{1100789F-1F89-4D13-95E6-C582F519B759}"/>
</file>

<file path=customXml/itemProps3.xml><?xml version="1.0" encoding="utf-8"?>
<ds:datastoreItem xmlns:ds="http://schemas.openxmlformats.org/officeDocument/2006/customXml" ds:itemID="{958C4344-91D0-4EEB-A8FE-4418041A187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Smethurst</dc:creator>
  <cp:lastModifiedBy>Isaac Smethurst</cp:lastModifiedBy>
  <dcterms:created xsi:type="dcterms:W3CDTF">2025-06-19T03:57:58Z</dcterms:created>
  <dcterms:modified xsi:type="dcterms:W3CDTF">2026-01-30T01:00:22Z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0x010100AE695EB7A6889243B6EF54BA8507F830</vt:lpwstr>
  </property>
</Properties>
</file>